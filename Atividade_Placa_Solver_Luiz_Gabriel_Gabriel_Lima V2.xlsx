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\Downloads\"/>
    </mc:Choice>
  </mc:AlternateContent>
  <xr:revisionPtr revIDLastSave="0" documentId="13_ncr:1_{F8A7DAC7-9A3B-469B-BAC7-42B42984A7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_Solver_Base" sheetId="1" r:id="rId1"/>
    <sheet name="02_Experimento" sheetId="2" r:id="rId2"/>
    <sheet name="03_Respostas" sheetId="3" r:id="rId3"/>
  </sheets>
  <definedNames>
    <definedName name="solver_adj" localSheetId="0" hidden="1">'01_Solver_Base'!$B$12:$B$20</definedName>
    <definedName name="solver_adj" localSheetId="1" hidden="1">'02_Experimento'!$B$12:$B$20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'01_Solver_Base'!$J$23</definedName>
    <definedName name="solver_opt" localSheetId="1" hidden="1">'02_Experimento'!$J$23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H21" i="2" s="1"/>
  <c r="I21" i="2" s="1"/>
  <c r="F20" i="2"/>
  <c r="H20" i="2" s="1"/>
  <c r="I20" i="2" s="1"/>
  <c r="F19" i="2"/>
  <c r="H19" i="2" s="1"/>
  <c r="I19" i="2" s="1"/>
  <c r="F18" i="2"/>
  <c r="H18" i="2" s="1"/>
  <c r="I18" i="2" s="1"/>
  <c r="F17" i="2"/>
  <c r="H17" i="2" s="1"/>
  <c r="I17" i="2" s="1"/>
  <c r="F16" i="2"/>
  <c r="H16" i="2" s="1"/>
  <c r="I16" i="2" s="1"/>
  <c r="F15" i="2"/>
  <c r="H15" i="2" s="1"/>
  <c r="I15" i="2" s="1"/>
  <c r="F14" i="2"/>
  <c r="H14" i="2" s="1"/>
  <c r="I14" i="2" s="1"/>
  <c r="F13" i="2"/>
  <c r="H13" i="2" s="1"/>
  <c r="I13" i="2" s="1"/>
  <c r="F21" i="1"/>
  <c r="H21" i="1" s="1"/>
  <c r="I21" i="1" s="1"/>
  <c r="F20" i="1"/>
  <c r="H20" i="1" s="1"/>
  <c r="I20" i="1" s="1"/>
  <c r="F19" i="1"/>
  <c r="H19" i="1" s="1"/>
  <c r="I19" i="1" s="1"/>
  <c r="F18" i="1"/>
  <c r="H18" i="1" s="1"/>
  <c r="I18" i="1" s="1"/>
  <c r="F17" i="1"/>
  <c r="H17" i="1" s="1"/>
  <c r="I17" i="1" s="1"/>
  <c r="F16" i="1"/>
  <c r="H16" i="1" s="1"/>
  <c r="I16" i="1" s="1"/>
  <c r="F15" i="1"/>
  <c r="H15" i="1" s="1"/>
  <c r="I15" i="1" s="1"/>
  <c r="F14" i="1"/>
  <c r="H14" i="1" s="1"/>
  <c r="I14" i="1" s="1"/>
  <c r="F13" i="1"/>
  <c r="H13" i="1" s="1"/>
  <c r="I13" i="1" s="1"/>
  <c r="J23" i="2" l="1"/>
  <c r="J23" i="1"/>
</calcChain>
</file>

<file path=xl/sharedStrings.xml><?xml version="1.0" encoding="utf-8"?>
<sst xmlns="http://schemas.openxmlformats.org/spreadsheetml/2006/main" count="135" uniqueCount="75">
  <si>
    <t>Distribuição de Temperatura em uma Placa - Sistema Linear 3x3</t>
  </si>
  <si>
    <t>Dupla: Luiz Gabriel e Gabriel Lima</t>
  </si>
  <si>
    <t>Condições de contorno</t>
  </si>
  <si>
    <t>Configuração do Solver</t>
  </si>
  <si>
    <t>Malha resolvida</t>
  </si>
  <si>
    <t>Topo</t>
  </si>
  <si>
    <t>Objetivo</t>
  </si>
  <si>
    <t>Minimizar</t>
  </si>
  <si>
    <t>J23</t>
  </si>
  <si>
    <t>Base</t>
  </si>
  <si>
    <t>Variáveis</t>
  </si>
  <si>
    <t>Alterando</t>
  </si>
  <si>
    <t>B12:B20</t>
  </si>
  <si>
    <t>Esquerda</t>
  </si>
  <si>
    <t>Método</t>
  </si>
  <si>
    <t>Direita</t>
  </si>
  <si>
    <t>Função</t>
  </si>
  <si>
    <t>F =</t>
  </si>
  <si>
    <t>Σ erro²</t>
  </si>
  <si>
    <t>Equações, erros e função objetivo</t>
  </si>
  <si>
    <t>T1</t>
  </si>
  <si>
    <t>Ponto</t>
  </si>
  <si>
    <t>Equação montada</t>
  </si>
  <si>
    <t>Lado esquerdo</t>
  </si>
  <si>
    <t>Direito</t>
  </si>
  <si>
    <t>Erro</t>
  </si>
  <si>
    <t>Erro²</t>
  </si>
  <si>
    <t>T2</t>
  </si>
  <si>
    <t>4T1 - T2 - T4 = 175</t>
  </si>
  <si>
    <t>T3</t>
  </si>
  <si>
    <t>4T2 - T1 - T3 - T5 = 100</t>
  </si>
  <si>
    <t>T4</t>
  </si>
  <si>
    <t>4T3 - T2 - T6 = 150</t>
  </si>
  <si>
    <t>T5</t>
  </si>
  <si>
    <t>4T4 - T1 - T5 - T7 = 75</t>
  </si>
  <si>
    <t>T6</t>
  </si>
  <si>
    <t>4T5 - T2 - T4 - T6 - T8 = 0</t>
  </si>
  <si>
    <t>T7</t>
  </si>
  <si>
    <t>4T6 - T3 - T5 - T9 = 50</t>
  </si>
  <si>
    <t>T8</t>
  </si>
  <si>
    <t>4T7 - T4 - T8 = 75</t>
  </si>
  <si>
    <t>T9</t>
  </si>
  <si>
    <t>4T8 - T5 - T7 - T9 = 0</t>
  </si>
  <si>
    <t>4T9 - T6 - T8 = 50</t>
  </si>
  <si>
    <t>F = soma dos erros²</t>
  </si>
  <si>
    <t>Experimento - Topo = 200°C e Esquerda = 0°C</t>
  </si>
  <si>
    <t>Equações do novo caso</t>
  </si>
  <si>
    <t>4T1 - T2 - T4 = 200</t>
  </si>
  <si>
    <t>4T2 - T1 - T3 - T5 = 200</t>
  </si>
  <si>
    <t>4T3 - T2 - T6 = 250</t>
  </si>
  <si>
    <t>4T4 - T1 - T5 - T7 = 0</t>
  </si>
  <si>
    <t>4T7 - T4 - T8 = 0</t>
  </si>
  <si>
    <t>Resumo do experimento</t>
  </si>
  <si>
    <t>Como o sistema reage?</t>
  </si>
  <si>
    <t>A parte de cima aquece bastante, pois o topo foi para 200°C. Ao mesmo tempo, o lado esquerdo esfria porque foi alterado para 0°C.</t>
  </si>
  <si>
    <t>Qual região muda mais?</t>
  </si>
  <si>
    <t>A região que mais muda é a próxima do topo e do lado esquerdo, principalmente T1 e T2. O lado direito ainda mantém influência dos 50°C.</t>
  </si>
  <si>
    <t>Conclusão</t>
  </si>
  <si>
    <t>Os valores continuam variando aos poucos, então o comportamento físico continua coerente.</t>
  </si>
  <si>
    <t>Respostas da análise e investigação</t>
  </si>
  <si>
    <t>Pergunta</t>
  </si>
  <si>
    <t>Resposta</t>
  </si>
  <si>
    <t>Onde estão as maiores temperaturas?</t>
  </si>
  <si>
    <t>No caso base, as maiores temperaturas aparecem perto do topo e do lado esquerdo, principalmente em T1 e T2. Isso acontece porque essas bordas têm as temperaturas mais altas.</t>
  </si>
  <si>
    <t>A distribuição é suave ou abrupta?</t>
  </si>
  <si>
    <t>É suave. Os valores vão diminuindo aos poucos, sem saltos estranhos entre um ponto e outro.</t>
  </si>
  <si>
    <t>Os resultados fazem sentido físico?</t>
  </si>
  <si>
    <t>Sim. Cada ponto interno ficou entre as temperaturas das bordas e dos pontos vizinhos, que é o comportamento esperado para uma placa em equilíbrio térmico.</t>
  </si>
  <si>
    <t>Quantas equações existem em uma malha 10x10?</t>
  </si>
  <si>
    <t>Considerando uma malha com 10x10 pontos internos, seriam 100 incógnitas e 100 equações.</t>
  </si>
  <si>
    <t>O Solver continua eficiente?</t>
  </si>
  <si>
    <t>Para 100 variáveis ainda é possível, mas já não é tão prático como no caso 3x3. Em problemas maiores, faz mais sentido resolver por matriz ou programação.</t>
  </si>
  <si>
    <t>Relação entre tamanho da malha e custo computacional</t>
  </si>
  <si>
    <t>Quando a malha aumenta, aumentam também as variáveis, equações e cálculos. Por isso o custo computacional cresce junto com o tamanho da malha.</t>
  </si>
  <si>
    <t>GRG Não 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</si>
</sst>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6">
    <font>
      <sz val="11"/>
      <name val="Carlito"/>
    </font>
    <font>
      <sz val="11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b/>
      <sz val="12"/>
      <color rgb="FF222222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EF6F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5" borderId="0" xfId="0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5" fontId="3" fillId="8" borderId="0" xfId="0" applyNumberFormat="1" applyFont="1" applyFill="1"/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3" workbookViewId="0">
      <selection activeCell="I6" sqref="I6"/>
    </sheetView>
  </sheetViews>
  <sheetFormatPr defaultRowHeight="13.8"/>
  <cols>
    <col min="1" max="1" width="12" customWidth="1"/>
    <col min="2" max="2" width="14" customWidth="1"/>
    <col min="3" max="3" width="3" customWidth="1"/>
    <col min="4" max="4" width="10" customWidth="1"/>
    <col min="5" max="5" width="36" customWidth="1"/>
    <col min="6" max="6" width="16" customWidth="1"/>
    <col min="7" max="7" width="11" customWidth="1"/>
    <col min="8" max="12" width="12" customWidth="1"/>
  </cols>
  <sheetData>
    <row r="1" spans="1:12" ht="24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4.4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9.2" customHeight="1">
      <c r="A4" s="22" t="s">
        <v>2</v>
      </c>
      <c r="B4" s="20"/>
      <c r="C4" s="1"/>
      <c r="D4" s="22" t="s">
        <v>3</v>
      </c>
      <c r="E4" s="20"/>
      <c r="F4" s="20"/>
      <c r="G4" s="1"/>
      <c r="H4" s="22" t="s">
        <v>4</v>
      </c>
      <c r="I4" s="20"/>
      <c r="J4" s="20"/>
      <c r="K4" s="20"/>
      <c r="L4" s="20"/>
    </row>
    <row r="5" spans="1:12" ht="19.2" customHeight="1">
      <c r="A5" s="2" t="s">
        <v>5</v>
      </c>
      <c r="B5" s="3">
        <v>100</v>
      </c>
      <c r="C5" s="1"/>
      <c r="D5" s="4" t="s">
        <v>6</v>
      </c>
      <c r="E5" s="5" t="s">
        <v>7</v>
      </c>
      <c r="F5" s="5" t="s">
        <v>8</v>
      </c>
      <c r="G5" s="1"/>
      <c r="H5" s="6"/>
      <c r="I5" s="8">
        <v>100</v>
      </c>
      <c r="J5" s="8">
        <v>100</v>
      </c>
      <c r="K5" s="8">
        <v>100</v>
      </c>
      <c r="L5" s="6"/>
    </row>
    <row r="6" spans="1:12" ht="19.2" customHeight="1">
      <c r="A6" s="2" t="s">
        <v>9</v>
      </c>
      <c r="B6" s="3">
        <v>0</v>
      </c>
      <c r="C6" s="1"/>
      <c r="D6" s="4" t="s">
        <v>10</v>
      </c>
      <c r="E6" s="5" t="s">
        <v>11</v>
      </c>
      <c r="F6" s="5" t="s">
        <v>12</v>
      </c>
      <c r="G6" s="1"/>
      <c r="H6" s="10">
        <v>75</v>
      </c>
      <c r="I6" s="7">
        <v>78.571428571428598</v>
      </c>
      <c r="J6" s="7">
        <v>76.116071428571431</v>
      </c>
      <c r="K6" s="7">
        <v>69.642857142857139</v>
      </c>
      <c r="L6" s="10">
        <v>50</v>
      </c>
    </row>
    <row r="7" spans="1:12" ht="19.2" customHeight="1">
      <c r="A7" s="2" t="s">
        <v>13</v>
      </c>
      <c r="B7" s="3">
        <v>75</v>
      </c>
      <c r="C7" s="1"/>
      <c r="D7" s="4" t="s">
        <v>14</v>
      </c>
      <c r="E7" s="5" t="s">
        <v>74</v>
      </c>
      <c r="F7" s="5"/>
      <c r="G7" s="1"/>
      <c r="H7" s="10">
        <v>75</v>
      </c>
      <c r="I7" s="7">
        <v>63.169642857142897</v>
      </c>
      <c r="J7" s="7">
        <v>56.25</v>
      </c>
      <c r="K7" s="7">
        <v>52.455357142857153</v>
      </c>
      <c r="L7" s="10">
        <v>50</v>
      </c>
    </row>
    <row r="8" spans="1:12" ht="19.2" customHeight="1">
      <c r="A8" s="2" t="s">
        <v>15</v>
      </c>
      <c r="B8" s="3">
        <v>50</v>
      </c>
      <c r="C8" s="1"/>
      <c r="D8" s="4" t="s">
        <v>16</v>
      </c>
      <c r="E8" s="5" t="s">
        <v>17</v>
      </c>
      <c r="F8" s="5" t="s">
        <v>18</v>
      </c>
      <c r="G8" s="1"/>
      <c r="H8" s="10">
        <v>75</v>
      </c>
      <c r="I8" s="7">
        <v>42.857142857142861</v>
      </c>
      <c r="J8" s="7">
        <v>33.258928571428569</v>
      </c>
      <c r="K8" s="7">
        <v>33.928571428571431</v>
      </c>
      <c r="L8" s="10">
        <v>50</v>
      </c>
    </row>
    <row r="9" spans="1:12" ht="19.2" customHeight="1">
      <c r="A9" s="1"/>
      <c r="B9" s="1"/>
      <c r="C9" s="1"/>
      <c r="D9" s="1"/>
      <c r="E9" s="1"/>
      <c r="F9" s="1"/>
      <c r="G9" s="1"/>
      <c r="H9" s="6"/>
      <c r="I9" s="9">
        <v>0</v>
      </c>
      <c r="J9" s="9">
        <v>0</v>
      </c>
      <c r="K9" s="9">
        <v>0</v>
      </c>
      <c r="L9" s="6"/>
    </row>
    <row r="10" spans="1:12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9.2" customHeight="1">
      <c r="A11" s="22" t="s">
        <v>10</v>
      </c>
      <c r="B11" s="20"/>
      <c r="C11" s="1"/>
      <c r="D11" s="22" t="s">
        <v>19</v>
      </c>
      <c r="E11" s="20"/>
      <c r="F11" s="20"/>
      <c r="G11" s="20"/>
      <c r="H11" s="20"/>
      <c r="I11" s="20"/>
      <c r="J11" s="1"/>
      <c r="K11" s="1"/>
      <c r="L11" s="1"/>
    </row>
    <row r="12" spans="1:12" ht="14.4">
      <c r="A12" s="2" t="s">
        <v>20</v>
      </c>
      <c r="B12" s="3">
        <v>78.571428571428598</v>
      </c>
      <c r="C12" s="1"/>
      <c r="D12" s="11" t="s">
        <v>21</v>
      </c>
      <c r="E12" s="11" t="s">
        <v>22</v>
      </c>
      <c r="F12" s="11" t="s">
        <v>23</v>
      </c>
      <c r="G12" s="11" t="s">
        <v>24</v>
      </c>
      <c r="H12" s="11" t="s">
        <v>25</v>
      </c>
      <c r="I12" s="11" t="s">
        <v>26</v>
      </c>
      <c r="J12" s="1"/>
      <c r="K12" s="1"/>
      <c r="L12" s="1"/>
    </row>
    <row r="13" spans="1:12" ht="22.35" customHeight="1">
      <c r="A13" s="2" t="s">
        <v>27</v>
      </c>
      <c r="B13" s="3">
        <v>76.116071428571431</v>
      </c>
      <c r="C13" s="1"/>
      <c r="D13" s="12" t="s">
        <v>20</v>
      </c>
      <c r="E13" s="13" t="s">
        <v>28</v>
      </c>
      <c r="F13" s="14">
        <f>4*$B$12-$B$13-$B$15</f>
        <v>175.00000000000009</v>
      </c>
      <c r="G13" s="15">
        <v>175</v>
      </c>
      <c r="H13" s="14">
        <f t="shared" ref="H13:H21" si="0">F13-G13</f>
        <v>0</v>
      </c>
      <c r="I13" s="14">
        <f t="shared" ref="I13:I21" si="1">H13^2</f>
        <v>0</v>
      </c>
      <c r="J13" s="1"/>
      <c r="K13" s="1"/>
      <c r="L13" s="1"/>
    </row>
    <row r="14" spans="1:12" ht="22.35" customHeight="1">
      <c r="A14" s="2" t="s">
        <v>29</v>
      </c>
      <c r="B14" s="3">
        <v>69.642857142857139</v>
      </c>
      <c r="C14" s="1"/>
      <c r="D14" s="12" t="s">
        <v>27</v>
      </c>
      <c r="E14" s="13" t="s">
        <v>30</v>
      </c>
      <c r="F14" s="14">
        <f>4*$B$13-$B$12-$B$14-$B$16</f>
        <v>99.999999999999972</v>
      </c>
      <c r="G14" s="15">
        <v>100</v>
      </c>
      <c r="H14" s="14">
        <f t="shared" si="0"/>
        <v>0</v>
      </c>
      <c r="I14" s="14">
        <f t="shared" si="1"/>
        <v>0</v>
      </c>
      <c r="J14" s="1"/>
      <c r="K14" s="1"/>
      <c r="L14" s="1"/>
    </row>
    <row r="15" spans="1:12" ht="22.35" customHeight="1">
      <c r="A15" s="2" t="s">
        <v>31</v>
      </c>
      <c r="B15" s="3">
        <v>63.169642857142854</v>
      </c>
      <c r="C15" s="1"/>
      <c r="D15" s="12" t="s">
        <v>29</v>
      </c>
      <c r="E15" s="13" t="s">
        <v>32</v>
      </c>
      <c r="F15" s="14">
        <f>4*$B$14-$B$13-$B$17</f>
        <v>149.99999999999994</v>
      </c>
      <c r="G15" s="15">
        <v>150</v>
      </c>
      <c r="H15" s="14">
        <f t="shared" si="0"/>
        <v>0</v>
      </c>
      <c r="I15" s="14">
        <f t="shared" si="1"/>
        <v>0</v>
      </c>
      <c r="J15" s="1"/>
      <c r="K15" s="1"/>
      <c r="L15" s="1"/>
    </row>
    <row r="16" spans="1:12" ht="22.35" customHeight="1">
      <c r="A16" s="2" t="s">
        <v>33</v>
      </c>
      <c r="B16" s="3">
        <v>56.250000000000007</v>
      </c>
      <c r="C16" s="1"/>
      <c r="D16" s="12" t="s">
        <v>31</v>
      </c>
      <c r="E16" s="13" t="s">
        <v>34</v>
      </c>
      <c r="F16" s="14">
        <f>4*$B$15-$B$12-$B$16-$B$18</f>
        <v>74.999999999999972</v>
      </c>
      <c r="G16" s="15">
        <v>75</v>
      </c>
      <c r="H16" s="14">
        <f t="shared" si="0"/>
        <v>0</v>
      </c>
      <c r="I16" s="14">
        <f t="shared" si="1"/>
        <v>0</v>
      </c>
      <c r="J16" s="1"/>
      <c r="K16" s="1"/>
      <c r="L16" s="1"/>
    </row>
    <row r="17" spans="1:12" ht="22.35" customHeight="1">
      <c r="A17" s="2" t="s">
        <v>35</v>
      </c>
      <c r="B17" s="3">
        <v>52.455357142857153</v>
      </c>
      <c r="C17" s="1"/>
      <c r="D17" s="12" t="s">
        <v>33</v>
      </c>
      <c r="E17" s="13" t="s">
        <v>36</v>
      </c>
      <c r="F17" s="14">
        <f>4*$B$16-$B$13-$B$15-$B$17-$B$19</f>
        <v>0</v>
      </c>
      <c r="G17" s="15">
        <v>0</v>
      </c>
      <c r="H17" s="14">
        <f t="shared" si="0"/>
        <v>0</v>
      </c>
      <c r="I17" s="14">
        <f t="shared" si="1"/>
        <v>0</v>
      </c>
      <c r="J17" s="1"/>
      <c r="K17" s="1"/>
      <c r="L17" s="1"/>
    </row>
    <row r="18" spans="1:12" ht="22.35" customHeight="1">
      <c r="A18" s="2" t="s">
        <v>37</v>
      </c>
      <c r="B18" s="3">
        <v>42.857142857142861</v>
      </c>
      <c r="C18" s="1"/>
      <c r="D18" s="12" t="s">
        <v>35</v>
      </c>
      <c r="E18" s="13" t="s">
        <v>38</v>
      </c>
      <c r="F18" s="14">
        <f>4*$B$17-$B$14-$B$16-$B$20</f>
        <v>50.000000000000043</v>
      </c>
      <c r="G18" s="15">
        <v>50</v>
      </c>
      <c r="H18" s="14">
        <f t="shared" si="0"/>
        <v>0</v>
      </c>
      <c r="I18" s="14">
        <f t="shared" si="1"/>
        <v>0</v>
      </c>
      <c r="J18" s="1"/>
      <c r="K18" s="1"/>
      <c r="L18" s="1"/>
    </row>
    <row r="19" spans="1:12" ht="22.35" customHeight="1">
      <c r="A19" s="2" t="s">
        <v>39</v>
      </c>
      <c r="B19" s="3">
        <v>33.258928571428569</v>
      </c>
      <c r="C19" s="1"/>
      <c r="D19" s="12" t="s">
        <v>37</v>
      </c>
      <c r="E19" s="13" t="s">
        <v>40</v>
      </c>
      <c r="F19" s="14">
        <f>4*$B$18-$B$15-$B$19</f>
        <v>75.000000000000014</v>
      </c>
      <c r="G19" s="15">
        <v>75</v>
      </c>
      <c r="H19" s="14">
        <f t="shared" si="0"/>
        <v>0</v>
      </c>
      <c r="I19" s="14">
        <f t="shared" si="1"/>
        <v>0</v>
      </c>
      <c r="J19" s="1"/>
      <c r="K19" s="1"/>
      <c r="L19" s="1"/>
    </row>
    <row r="20" spans="1:12" ht="22.35" customHeight="1">
      <c r="A20" s="2" t="s">
        <v>41</v>
      </c>
      <c r="B20" s="3">
        <v>33.928571428571431</v>
      </c>
      <c r="C20" s="1"/>
      <c r="D20" s="12" t="s">
        <v>39</v>
      </c>
      <c r="E20" s="13" t="s">
        <v>42</v>
      </c>
      <c r="F20" s="14">
        <f>4*$B$19-$B$16-$B$18-$B$20</f>
        <v>0</v>
      </c>
      <c r="G20" s="15">
        <v>0</v>
      </c>
      <c r="H20" s="14">
        <f t="shared" si="0"/>
        <v>0</v>
      </c>
      <c r="I20" s="14">
        <f t="shared" si="1"/>
        <v>0</v>
      </c>
      <c r="J20" s="1"/>
      <c r="K20" s="1"/>
      <c r="L20" s="1"/>
    </row>
    <row r="21" spans="1:12" ht="22.35" customHeight="1">
      <c r="A21" s="1"/>
      <c r="B21" s="1"/>
      <c r="C21" s="1"/>
      <c r="D21" s="12" t="s">
        <v>41</v>
      </c>
      <c r="E21" s="13" t="s">
        <v>43</v>
      </c>
      <c r="F21" s="14">
        <f>4*$B$20-$B$17-$B$19</f>
        <v>50</v>
      </c>
      <c r="G21" s="15">
        <v>50</v>
      </c>
      <c r="H21" s="14">
        <f t="shared" si="0"/>
        <v>0</v>
      </c>
      <c r="I21" s="14">
        <f t="shared" si="1"/>
        <v>0</v>
      </c>
      <c r="J21" s="1"/>
      <c r="K21" s="1"/>
      <c r="L21" s="1"/>
    </row>
    <row r="22" spans="1:12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4.4">
      <c r="A23" s="1"/>
      <c r="B23" s="1"/>
      <c r="C23" s="1"/>
      <c r="D23" s="1"/>
      <c r="E23" s="1"/>
      <c r="F23" s="1"/>
      <c r="G23" s="1"/>
      <c r="H23" s="23" t="s">
        <v>44</v>
      </c>
      <c r="I23" s="20"/>
      <c r="J23" s="16">
        <f>SUM(I13:I21)</f>
        <v>0</v>
      </c>
      <c r="K23" s="1"/>
      <c r="L23" s="1"/>
    </row>
    <row r="24" spans="1:12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</sheetData>
  <mergeCells count="8">
    <mergeCell ref="A11:B11"/>
    <mergeCell ref="D11:I11"/>
    <mergeCell ref="H23:I23"/>
    <mergeCell ref="A1:L1"/>
    <mergeCell ref="A2:L2"/>
    <mergeCell ref="A4:B4"/>
    <mergeCell ref="D4:F4"/>
    <mergeCell ref="H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9" workbookViewId="0">
      <selection activeCell="G8" sqref="G8"/>
    </sheetView>
  </sheetViews>
  <sheetFormatPr defaultRowHeight="13.8"/>
  <cols>
    <col min="1" max="1" width="24" customWidth="1"/>
    <col min="2" max="2" width="14" customWidth="1"/>
    <col min="3" max="3" width="3" customWidth="1"/>
    <col min="4" max="4" width="10" customWidth="1"/>
    <col min="5" max="5" width="36" customWidth="1"/>
    <col min="6" max="6" width="16" customWidth="1"/>
    <col min="7" max="7" width="11" customWidth="1"/>
    <col min="8" max="12" width="12" customWidth="1"/>
  </cols>
  <sheetData>
    <row r="1" spans="1:12" ht="24" customHeight="1">
      <c r="A1" s="19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4.4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9.2" customHeight="1">
      <c r="A4" s="22" t="s">
        <v>2</v>
      </c>
      <c r="B4" s="20"/>
      <c r="C4" s="1"/>
      <c r="D4" s="22" t="s">
        <v>3</v>
      </c>
      <c r="E4" s="20"/>
      <c r="F4" s="20"/>
      <c r="G4" s="1"/>
      <c r="H4" s="22" t="s">
        <v>4</v>
      </c>
      <c r="I4" s="20"/>
      <c r="J4" s="20"/>
      <c r="K4" s="20"/>
      <c r="L4" s="20"/>
    </row>
    <row r="5" spans="1:12" ht="19.2" customHeight="1">
      <c r="A5" s="2" t="s">
        <v>5</v>
      </c>
      <c r="B5" s="3">
        <v>200</v>
      </c>
      <c r="C5" s="1"/>
      <c r="D5" s="4" t="s">
        <v>6</v>
      </c>
      <c r="E5" s="5" t="s">
        <v>7</v>
      </c>
      <c r="F5" s="5" t="s">
        <v>8</v>
      </c>
      <c r="G5" s="1"/>
      <c r="H5" s="6"/>
      <c r="I5" s="8">
        <v>200</v>
      </c>
      <c r="J5" s="8">
        <v>200</v>
      </c>
      <c r="K5" s="8">
        <v>200</v>
      </c>
      <c r="L5" s="6"/>
    </row>
    <row r="6" spans="1:12" ht="19.2" customHeight="1">
      <c r="A6" s="2" t="s">
        <v>9</v>
      </c>
      <c r="B6" s="3">
        <v>0</v>
      </c>
      <c r="C6" s="1"/>
      <c r="D6" s="4" t="s">
        <v>10</v>
      </c>
      <c r="E6" s="5" t="s">
        <v>11</v>
      </c>
      <c r="F6" s="5" t="s">
        <v>12</v>
      </c>
      <c r="G6" s="1"/>
      <c r="H6" s="10">
        <v>0</v>
      </c>
      <c r="I6" s="7">
        <v>89.285714285714278</v>
      </c>
      <c r="J6" s="7">
        <v>114.73214285714286</v>
      </c>
      <c r="K6" s="7">
        <v>107.14285714285715</v>
      </c>
      <c r="L6" s="10">
        <v>50</v>
      </c>
    </row>
    <row r="7" spans="1:12" ht="19.2" customHeight="1">
      <c r="A7" s="2" t="s">
        <v>13</v>
      </c>
      <c r="B7" s="3">
        <v>0</v>
      </c>
      <c r="C7" s="1"/>
      <c r="D7" s="4" t="s">
        <v>14</v>
      </c>
      <c r="E7" s="5" t="s">
        <v>74</v>
      </c>
      <c r="F7" s="5"/>
      <c r="G7" s="1"/>
      <c r="H7" s="10">
        <v>0</v>
      </c>
      <c r="I7" s="7">
        <v>42.410714285714285</v>
      </c>
      <c r="J7" s="7">
        <v>62.5</v>
      </c>
      <c r="K7" s="7">
        <v>63.839285714285722</v>
      </c>
      <c r="L7" s="10">
        <v>50</v>
      </c>
    </row>
    <row r="8" spans="1:12" ht="19.2" customHeight="1">
      <c r="A8" s="2" t="s">
        <v>15</v>
      </c>
      <c r="B8" s="3">
        <v>50</v>
      </c>
      <c r="C8" s="1"/>
      <c r="D8" s="4" t="s">
        <v>16</v>
      </c>
      <c r="E8" s="5" t="s">
        <v>17</v>
      </c>
      <c r="F8" s="5" t="s">
        <v>18</v>
      </c>
      <c r="G8" s="1"/>
      <c r="H8" s="10">
        <v>0</v>
      </c>
      <c r="I8" s="7">
        <v>17.857142857142858</v>
      </c>
      <c r="J8" s="7">
        <v>29.017857142857142</v>
      </c>
      <c r="K8" s="7">
        <v>35.714285714285715</v>
      </c>
      <c r="L8" s="10">
        <v>50</v>
      </c>
    </row>
    <row r="9" spans="1:12" ht="19.2" customHeight="1">
      <c r="A9" s="1"/>
      <c r="B9" s="1"/>
      <c r="C9" s="1"/>
      <c r="D9" s="1"/>
      <c r="E9" s="1"/>
      <c r="F9" s="1"/>
      <c r="G9" s="1"/>
      <c r="H9" s="6"/>
      <c r="I9" s="9">
        <v>0</v>
      </c>
      <c r="J9" s="9">
        <v>0</v>
      </c>
      <c r="K9" s="9">
        <v>0</v>
      </c>
      <c r="L9" s="6"/>
    </row>
    <row r="10" spans="1:12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9.2" customHeight="1">
      <c r="A11" s="22" t="s">
        <v>10</v>
      </c>
      <c r="B11" s="20"/>
      <c r="C11" s="1"/>
      <c r="D11" s="22" t="s">
        <v>46</v>
      </c>
      <c r="E11" s="20"/>
      <c r="F11" s="20"/>
      <c r="G11" s="20"/>
      <c r="H11" s="20"/>
      <c r="I11" s="20"/>
      <c r="J11" s="1"/>
      <c r="K11" s="1"/>
      <c r="L11" s="1"/>
    </row>
    <row r="12" spans="1:12" ht="14.4">
      <c r="A12" s="2" t="s">
        <v>20</v>
      </c>
      <c r="B12" s="3">
        <v>89.285714285714278</v>
      </c>
      <c r="C12" s="1"/>
      <c r="D12" s="11" t="s">
        <v>21</v>
      </c>
      <c r="E12" s="11" t="s">
        <v>22</v>
      </c>
      <c r="F12" s="11" t="s">
        <v>23</v>
      </c>
      <c r="G12" s="11" t="s">
        <v>24</v>
      </c>
      <c r="H12" s="11" t="s">
        <v>25</v>
      </c>
      <c r="I12" s="11" t="s">
        <v>26</v>
      </c>
      <c r="J12" s="1"/>
      <c r="K12" s="1"/>
      <c r="L12" s="1"/>
    </row>
    <row r="13" spans="1:12" ht="22.35" customHeight="1">
      <c r="A13" s="2" t="s">
        <v>27</v>
      </c>
      <c r="B13" s="3">
        <v>114.73214285714286</v>
      </c>
      <c r="C13" s="1"/>
      <c r="D13" s="12" t="s">
        <v>20</v>
      </c>
      <c r="E13" s="13" t="s">
        <v>47</v>
      </c>
      <c r="F13" s="14">
        <f>4*$B$12-$B$13-$B$15</f>
        <v>199.99999999999997</v>
      </c>
      <c r="G13" s="15">
        <v>200</v>
      </c>
      <c r="H13" s="14">
        <f t="shared" ref="H13:H21" si="0">F13-G13</f>
        <v>0</v>
      </c>
      <c r="I13" s="14">
        <f t="shared" ref="I13:I21" si="1">H13^2</f>
        <v>0</v>
      </c>
      <c r="J13" s="1"/>
      <c r="K13" s="1"/>
      <c r="L13" s="1"/>
    </row>
    <row r="14" spans="1:12" ht="22.35" customHeight="1">
      <c r="A14" s="2" t="s">
        <v>29</v>
      </c>
      <c r="B14" s="3">
        <v>107.14285714285715</v>
      </c>
      <c r="C14" s="1"/>
      <c r="D14" s="12" t="s">
        <v>27</v>
      </c>
      <c r="E14" s="13" t="s">
        <v>48</v>
      </c>
      <c r="F14" s="14">
        <f>4*$B$13-$B$12-$B$14-$B$16</f>
        <v>200</v>
      </c>
      <c r="G14" s="15">
        <v>200</v>
      </c>
      <c r="H14" s="14">
        <f t="shared" si="0"/>
        <v>0</v>
      </c>
      <c r="I14" s="14">
        <f t="shared" si="1"/>
        <v>0</v>
      </c>
      <c r="J14" s="1"/>
      <c r="K14" s="1"/>
      <c r="L14" s="1"/>
    </row>
    <row r="15" spans="1:12" ht="22.35" customHeight="1">
      <c r="A15" s="2" t="s">
        <v>31</v>
      </c>
      <c r="B15" s="3">
        <v>42.410714285714285</v>
      </c>
      <c r="C15" s="1"/>
      <c r="D15" s="12" t="s">
        <v>29</v>
      </c>
      <c r="E15" s="13" t="s">
        <v>49</v>
      </c>
      <c r="F15" s="14">
        <f>4*$B$14-$B$13-$B$17</f>
        <v>250.00000000000006</v>
      </c>
      <c r="G15" s="15">
        <v>250</v>
      </c>
      <c r="H15" s="14">
        <f t="shared" si="0"/>
        <v>0</v>
      </c>
      <c r="I15" s="14">
        <f t="shared" si="1"/>
        <v>0</v>
      </c>
      <c r="J15" s="1"/>
      <c r="K15" s="1"/>
      <c r="L15" s="1"/>
    </row>
    <row r="16" spans="1:12" ht="22.35" customHeight="1">
      <c r="A16" s="2" t="s">
        <v>33</v>
      </c>
      <c r="B16" s="3">
        <v>62.5</v>
      </c>
      <c r="C16" s="1"/>
      <c r="D16" s="12" t="s">
        <v>31</v>
      </c>
      <c r="E16" s="13" t="s">
        <v>50</v>
      </c>
      <c r="F16" s="14">
        <f>4*$B$15-$B$12-$B$16-$B$18</f>
        <v>0</v>
      </c>
      <c r="G16" s="15">
        <v>0</v>
      </c>
      <c r="H16" s="14">
        <f t="shared" si="0"/>
        <v>0</v>
      </c>
      <c r="I16" s="14">
        <f t="shared" si="1"/>
        <v>0</v>
      </c>
      <c r="J16" s="1"/>
      <c r="K16" s="1"/>
      <c r="L16" s="1"/>
    </row>
    <row r="17" spans="1:12" ht="22.35" customHeight="1">
      <c r="A17" s="2" t="s">
        <v>35</v>
      </c>
      <c r="B17" s="3">
        <v>63.839285714285722</v>
      </c>
      <c r="C17" s="1"/>
      <c r="D17" s="12" t="s">
        <v>33</v>
      </c>
      <c r="E17" s="13" t="s">
        <v>36</v>
      </c>
      <c r="F17" s="14">
        <f>4*$B$16-$B$13-$B$15-$B$17-$B$19</f>
        <v>0</v>
      </c>
      <c r="G17" s="15">
        <v>0</v>
      </c>
      <c r="H17" s="14">
        <f t="shared" si="0"/>
        <v>0</v>
      </c>
      <c r="I17" s="14">
        <f t="shared" si="1"/>
        <v>0</v>
      </c>
      <c r="J17" s="1"/>
      <c r="K17" s="1"/>
      <c r="L17" s="1"/>
    </row>
    <row r="18" spans="1:12" ht="22.35" customHeight="1">
      <c r="A18" s="2" t="s">
        <v>37</v>
      </c>
      <c r="B18" s="3">
        <v>17.857142857142858</v>
      </c>
      <c r="C18" s="1"/>
      <c r="D18" s="12" t="s">
        <v>35</v>
      </c>
      <c r="E18" s="13" t="s">
        <v>38</v>
      </c>
      <c r="F18" s="14">
        <f>4*$B$17-$B$14-$B$16-$B$20</f>
        <v>50.000000000000007</v>
      </c>
      <c r="G18" s="15">
        <v>50</v>
      </c>
      <c r="H18" s="14">
        <f t="shared" si="0"/>
        <v>0</v>
      </c>
      <c r="I18" s="14">
        <f t="shared" si="1"/>
        <v>0</v>
      </c>
      <c r="J18" s="1"/>
      <c r="K18" s="1"/>
      <c r="L18" s="1"/>
    </row>
    <row r="19" spans="1:12" ht="22.35" customHeight="1">
      <c r="A19" s="2" t="s">
        <v>39</v>
      </c>
      <c r="B19" s="3">
        <v>29.017857142857142</v>
      </c>
      <c r="C19" s="1"/>
      <c r="D19" s="12" t="s">
        <v>37</v>
      </c>
      <c r="E19" s="13" t="s">
        <v>51</v>
      </c>
      <c r="F19" s="14">
        <f>4*$B$18-$B$15-$B$19</f>
        <v>0</v>
      </c>
      <c r="G19" s="15">
        <v>0</v>
      </c>
      <c r="H19" s="14">
        <f t="shared" si="0"/>
        <v>0</v>
      </c>
      <c r="I19" s="14">
        <f t="shared" si="1"/>
        <v>0</v>
      </c>
      <c r="J19" s="1"/>
      <c r="K19" s="1"/>
      <c r="L19" s="1"/>
    </row>
    <row r="20" spans="1:12" ht="22.35" customHeight="1">
      <c r="A20" s="2" t="s">
        <v>41</v>
      </c>
      <c r="B20" s="3">
        <v>35.714285714285715</v>
      </c>
      <c r="C20" s="1"/>
      <c r="D20" s="12" t="s">
        <v>39</v>
      </c>
      <c r="E20" s="13" t="s">
        <v>42</v>
      </c>
      <c r="F20" s="14">
        <f>4*$B$19-$B$16-$B$18-$B$20</f>
        <v>0</v>
      </c>
      <c r="G20" s="15">
        <v>0</v>
      </c>
      <c r="H20" s="14">
        <f t="shared" si="0"/>
        <v>0</v>
      </c>
      <c r="I20" s="14">
        <f t="shared" si="1"/>
        <v>0</v>
      </c>
      <c r="J20" s="1"/>
      <c r="K20" s="1"/>
      <c r="L20" s="1"/>
    </row>
    <row r="21" spans="1:12" ht="22.35" customHeight="1">
      <c r="A21" s="1"/>
      <c r="B21" s="1"/>
      <c r="C21" s="1"/>
      <c r="D21" s="12" t="s">
        <v>41</v>
      </c>
      <c r="E21" s="13" t="s">
        <v>43</v>
      </c>
      <c r="F21" s="14">
        <f>4*$B$20-$B$17-$B$19</f>
        <v>50</v>
      </c>
      <c r="G21" s="15">
        <v>50</v>
      </c>
      <c r="H21" s="14">
        <f t="shared" si="0"/>
        <v>0</v>
      </c>
      <c r="I21" s="14">
        <f t="shared" si="1"/>
        <v>0</v>
      </c>
      <c r="J21" s="1"/>
      <c r="K21" s="1"/>
      <c r="L21" s="1"/>
    </row>
    <row r="22" spans="1:12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4.4">
      <c r="A23" s="1"/>
      <c r="B23" s="1"/>
      <c r="C23" s="1"/>
      <c r="D23" s="1"/>
      <c r="E23" s="1"/>
      <c r="F23" s="1"/>
      <c r="G23" s="1"/>
      <c r="H23" s="23" t="s">
        <v>44</v>
      </c>
      <c r="I23" s="20"/>
      <c r="J23" s="16">
        <f>SUM(I13:I21)</f>
        <v>0</v>
      </c>
      <c r="K23" s="1"/>
      <c r="L23" s="1"/>
    </row>
    <row r="24" spans="1:12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2" customHeight="1">
      <c r="A25" s="22" t="s">
        <v>52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ht="33.6" customHeight="1">
      <c r="A26" s="18" t="s">
        <v>53</v>
      </c>
      <c r="B26" s="24" t="s">
        <v>54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ht="33.6" customHeight="1">
      <c r="A27" s="18" t="s">
        <v>55</v>
      </c>
      <c r="B27" s="24" t="s">
        <v>56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ht="33.6" customHeight="1">
      <c r="A28" s="18" t="s">
        <v>57</v>
      </c>
      <c r="B28" s="24" t="s">
        <v>58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2">
    <mergeCell ref="B27:L27"/>
    <mergeCell ref="B28:L28"/>
    <mergeCell ref="A11:B11"/>
    <mergeCell ref="D11:I11"/>
    <mergeCell ref="H23:I23"/>
    <mergeCell ref="A25:L25"/>
    <mergeCell ref="B26:L26"/>
    <mergeCell ref="A1:L1"/>
    <mergeCell ref="A2:L2"/>
    <mergeCell ref="A4:B4"/>
    <mergeCell ref="D4:F4"/>
    <mergeCell ref="H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B10" sqref="B10:H10"/>
    </sheetView>
  </sheetViews>
  <sheetFormatPr defaultRowHeight="13.8"/>
  <cols>
    <col min="1" max="1" width="34" customWidth="1"/>
    <col min="2" max="8" width="18" customWidth="1"/>
  </cols>
  <sheetData>
    <row r="1" spans="1:8" ht="24" customHeight="1">
      <c r="A1" s="19" t="s">
        <v>59</v>
      </c>
      <c r="B1" s="20"/>
      <c r="C1" s="20"/>
      <c r="D1" s="20"/>
      <c r="E1" s="20"/>
      <c r="F1" s="20"/>
      <c r="G1" s="20"/>
      <c r="H1" s="20"/>
    </row>
    <row r="2" spans="1:8" ht="14.4">
      <c r="A2" s="21" t="s">
        <v>1</v>
      </c>
      <c r="B2" s="20"/>
      <c r="C2" s="20"/>
      <c r="D2" s="20"/>
      <c r="E2" s="20"/>
      <c r="F2" s="20"/>
      <c r="G2" s="20"/>
      <c r="H2" s="20"/>
    </row>
    <row r="3" spans="1:8" ht="14.4">
      <c r="A3" s="1"/>
      <c r="B3" s="1"/>
      <c r="C3" s="1"/>
      <c r="D3" s="1"/>
      <c r="E3" s="1"/>
      <c r="F3" s="1"/>
      <c r="G3" s="1"/>
      <c r="H3" s="1"/>
    </row>
    <row r="4" spans="1:8" ht="14.4">
      <c r="A4" s="11" t="s">
        <v>60</v>
      </c>
      <c r="B4" s="25" t="s">
        <v>61</v>
      </c>
      <c r="C4" s="25"/>
      <c r="D4" s="25"/>
      <c r="E4" s="25"/>
      <c r="F4" s="25"/>
      <c r="G4" s="25"/>
      <c r="H4" s="25"/>
    </row>
    <row r="5" spans="1:8" ht="36.75" customHeight="1">
      <c r="A5" s="17" t="s">
        <v>62</v>
      </c>
      <c r="B5" s="24" t="s">
        <v>63</v>
      </c>
      <c r="C5" s="24"/>
      <c r="D5" s="24"/>
      <c r="E5" s="24"/>
      <c r="F5" s="24"/>
      <c r="G5" s="24"/>
      <c r="H5" s="24"/>
    </row>
    <row r="6" spans="1:8" ht="36.75" customHeight="1">
      <c r="A6" s="17" t="s">
        <v>64</v>
      </c>
      <c r="B6" s="24" t="s">
        <v>65</v>
      </c>
      <c r="C6" s="24"/>
      <c r="D6" s="24"/>
      <c r="E6" s="24"/>
      <c r="F6" s="24"/>
      <c r="G6" s="24"/>
      <c r="H6" s="24"/>
    </row>
    <row r="7" spans="1:8" ht="36.75" customHeight="1">
      <c r="A7" s="17" t="s">
        <v>66</v>
      </c>
      <c r="B7" s="24" t="s">
        <v>67</v>
      </c>
      <c r="C7" s="24"/>
      <c r="D7" s="24"/>
      <c r="E7" s="24"/>
      <c r="F7" s="24"/>
      <c r="G7" s="24"/>
      <c r="H7" s="24"/>
    </row>
    <row r="8" spans="1:8" ht="36.75" customHeight="1">
      <c r="A8" s="17" t="s">
        <v>68</v>
      </c>
      <c r="B8" s="24" t="s">
        <v>69</v>
      </c>
      <c r="C8" s="24"/>
      <c r="D8" s="24"/>
      <c r="E8" s="24"/>
      <c r="F8" s="24"/>
      <c r="G8" s="24"/>
      <c r="H8" s="24"/>
    </row>
    <row r="9" spans="1:8" ht="36.75" customHeight="1">
      <c r="A9" s="17" t="s">
        <v>70</v>
      </c>
      <c r="B9" s="24" t="s">
        <v>71</v>
      </c>
      <c r="C9" s="24"/>
      <c r="D9" s="24"/>
      <c r="E9" s="24"/>
      <c r="F9" s="24"/>
      <c r="G9" s="24"/>
      <c r="H9" s="24"/>
    </row>
    <row r="10" spans="1:8" ht="36.75" customHeight="1">
      <c r="A10" s="17" t="s">
        <v>72</v>
      </c>
      <c r="B10" s="24" t="s">
        <v>73</v>
      </c>
      <c r="C10" s="24"/>
      <c r="D10" s="24"/>
      <c r="E10" s="24"/>
      <c r="F10" s="24"/>
      <c r="G10" s="24"/>
      <c r="H10" s="24"/>
    </row>
    <row r="11" spans="1:8" ht="14.4">
      <c r="A11" s="1"/>
      <c r="B11" s="1"/>
      <c r="C11" s="1"/>
      <c r="D11" s="1"/>
      <c r="E11" s="1"/>
      <c r="F11" s="1"/>
      <c r="G11" s="1"/>
      <c r="H11" s="1"/>
    </row>
    <row r="12" spans="1:8" ht="14.4">
      <c r="A12" s="1"/>
      <c r="B12" s="1"/>
      <c r="C12" s="1"/>
      <c r="D12" s="1"/>
      <c r="E12" s="1"/>
      <c r="F12" s="1"/>
      <c r="G12" s="1"/>
      <c r="H12" s="1"/>
    </row>
  </sheetData>
  <mergeCells count="9">
    <mergeCell ref="B7:H7"/>
    <mergeCell ref="B8:H8"/>
    <mergeCell ref="B9:H9"/>
    <mergeCell ref="B10:H10"/>
    <mergeCell ref="A1:H1"/>
    <mergeCell ref="A2:H2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01_Solver_Base</vt:lpstr>
      <vt:lpstr>02_Experimento</vt:lpstr>
      <vt:lpstr>03_Respostas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GABRIEL VALENTIM MELO</cp:lastModifiedBy>
  <dcterms:modified xsi:type="dcterms:W3CDTF">2026-05-22T01:20:57Z</dcterms:modified>
</cp:coreProperties>
</file>