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z\Downloads\"/>
    </mc:Choice>
  </mc:AlternateContent>
  <xr:revisionPtr revIDLastSave="0" documentId="13_ncr:1_{EDD006E8-FCB2-4AB0-A252-6AC913C827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delo_Solver" sheetId="1" r:id="rId1"/>
    <sheet name="Fontes_e_Premissas" sheetId="2" r:id="rId2"/>
  </sheets>
  <definedNames>
    <definedName name="solver_adj" localSheetId="0" hidden="1">Modelo_Solver!$C$7:$C$10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Modelo_Solver!$B$15</definedName>
    <definedName name="solver_lhs10" localSheetId="0" hidden="1">Modelo_Solver!$C$10</definedName>
    <definedName name="solver_lhs11" localSheetId="0" hidden="1">Modelo_Solver!$C$7</definedName>
    <definedName name="solver_lhs12" localSheetId="0" hidden="1">Modelo_Solver!$C$7</definedName>
    <definedName name="solver_lhs13" localSheetId="0" hidden="1">Modelo_Solver!$C$8</definedName>
    <definedName name="solver_lhs14" localSheetId="0" hidden="1">Modelo_Solver!$C$8</definedName>
    <definedName name="solver_lhs15" localSheetId="0" hidden="1">Modelo_Solver!$C$9</definedName>
    <definedName name="solver_lhs16" localSheetId="0" hidden="1">Modelo_Solver!$C$9</definedName>
    <definedName name="solver_lhs2" localSheetId="0" hidden="1">Modelo_Solver!$B$15</definedName>
    <definedName name="solver_lhs3" localSheetId="0" hidden="1">Modelo_Solver!$B$16</definedName>
    <definedName name="solver_lhs4" localSheetId="0" hidden="1">Modelo_Solver!$B$17</definedName>
    <definedName name="solver_lhs5" localSheetId="0" hidden="1">Modelo_Solver!$B$18</definedName>
    <definedName name="solver_lhs6" localSheetId="0" hidden="1">Modelo_Solver!$B$18</definedName>
    <definedName name="solver_lhs7" localSheetId="0" hidden="1">Modelo_Solver!$B$19</definedName>
    <definedName name="solver_lhs8" localSheetId="0" hidden="1">Modelo_Solver!$B$19</definedName>
    <definedName name="solver_lhs9" localSheetId="0" hidden="1">Modelo_Solver!$C$10</definedName>
    <definedName name="solver_mip" localSheetId="0" hidden="1">2147483647</definedName>
    <definedName name="solver_mni" localSheetId="0" hidden="1">60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16</definedName>
    <definedName name="solver_nwt" localSheetId="0" hidden="1">1</definedName>
    <definedName name="solver_opt" localSheetId="0" hidden="1">Modelo_Solver!$B$14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3</definedName>
    <definedName name="solver_rel11" localSheetId="0" hidden="1">1</definedName>
    <definedName name="solver_rel12" localSheetId="0" hidden="1">3</definedName>
    <definedName name="solver_rel13" localSheetId="0" hidden="1">1</definedName>
    <definedName name="solver_rel14" localSheetId="0" hidden="1">3</definedName>
    <definedName name="solver_rel15" localSheetId="0" hidden="1">1</definedName>
    <definedName name="solver_rel16" localSheetId="0" hidden="1">3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el9" localSheetId="0" hidden="1">1</definedName>
    <definedName name="solver_rhs1" localSheetId="0" hidden="1">1.005</definedName>
    <definedName name="solver_rhs10" localSheetId="0" hidden="1">900</definedName>
    <definedName name="solver_rhs11" localSheetId="0" hidden="1">430</definedName>
    <definedName name="solver_rhs12" localSheetId="0" hidden="1">280</definedName>
    <definedName name="solver_rhs13" localSheetId="0" hidden="1">200</definedName>
    <definedName name="solver_rhs14" localSheetId="0" hidden="1">160</definedName>
    <definedName name="solver_rhs15" localSheetId="0" hidden="1">900</definedName>
    <definedName name="solver_rhs16" localSheetId="0" hidden="1">700</definedName>
    <definedName name="solver_rhs2" localSheetId="0" hidden="1">0.995</definedName>
    <definedName name="solver_rhs3" localSheetId="0" hidden="1">0.55</definedName>
    <definedName name="solver_rhs4" localSheetId="0" hidden="1">25</definedName>
    <definedName name="solver_rhs5" localSheetId="0" hidden="1">2.53</definedName>
    <definedName name="solver_rhs6" localSheetId="0" hidden="1">2.07</definedName>
    <definedName name="solver_rhs7" localSheetId="0" hidden="1">2.97</definedName>
    <definedName name="solver_rhs8" localSheetId="0" hidden="1">2.43</definedName>
    <definedName name="solver_rhs9" localSheetId="0" hidden="1">1100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8" i="1"/>
  <c r="D18" i="1" s="1"/>
  <c r="B19" i="1"/>
  <c r="D19" i="1" s="1"/>
  <c r="B16" i="1"/>
  <c r="B17" i="1" s="1"/>
  <c r="B15" i="1"/>
  <c r="D15" i="1" s="1"/>
  <c r="E10" i="1"/>
  <c r="F10" i="1" s="1"/>
  <c r="J10" i="1" s="1"/>
  <c r="E9" i="1"/>
  <c r="F9" i="1" s="1"/>
  <c r="J9" i="1" s="1"/>
  <c r="E8" i="1"/>
  <c r="F8" i="1" s="1"/>
  <c r="J8" i="1" s="1"/>
  <c r="E7" i="1"/>
  <c r="F7" i="1" s="1"/>
  <c r="D17" i="1" l="1"/>
  <c r="D16" i="1"/>
  <c r="J7" i="1"/>
  <c r="K8" i="1" l="1"/>
  <c r="K9" i="1"/>
  <c r="K10" i="1"/>
  <c r="D14" i="1"/>
  <c r="K7" i="1"/>
</calcChain>
</file>

<file path=xl/sharedStrings.xml><?xml version="1.0" encoding="utf-8"?>
<sst xmlns="http://schemas.openxmlformats.org/spreadsheetml/2006/main" count="143" uniqueCount="115">
  <si>
    <t>Otimização de custo de mistura de concreto — Solver</t>
  </si>
  <si>
    <t>VARIÁVEIS DA MISTURA</t>
  </si>
  <si>
    <t>CUSTO POR MATERIAL</t>
  </si>
  <si>
    <t>Material</t>
  </si>
  <si>
    <t>Variável</t>
  </si>
  <si>
    <t>Quantidade</t>
  </si>
  <si>
    <t>Unidade</t>
  </si>
  <si>
    <t>Preço unit.</t>
  </si>
  <si>
    <t>Custo</t>
  </si>
  <si>
    <t>Fonte</t>
  </si>
  <si>
    <t>Participação</t>
  </si>
  <si>
    <t>Cimento CP II-32</t>
  </si>
  <si>
    <t>C</t>
  </si>
  <si>
    <t>kg/m³</t>
  </si>
  <si>
    <t>SINAPI 1379</t>
  </si>
  <si>
    <t>Cimento</t>
  </si>
  <si>
    <t>Água</t>
  </si>
  <si>
    <t>W</t>
  </si>
  <si>
    <t>L/m³</t>
  </si>
  <si>
    <t>COMPESA/ARPE</t>
  </si>
  <si>
    <t>Areia média</t>
  </si>
  <si>
    <t>S</t>
  </si>
  <si>
    <t>SINAPI 370</t>
  </si>
  <si>
    <t>Areia</t>
  </si>
  <si>
    <t>Brita 1</t>
  </si>
  <si>
    <t>G</t>
  </si>
  <si>
    <t>SINAPI 4721</t>
  </si>
  <si>
    <t>Brita</t>
  </si>
  <si>
    <t>INDICADORES CALCULADOS</t>
  </si>
  <si>
    <t>Indicador</t>
  </si>
  <si>
    <t>Valor</t>
  </si>
  <si>
    <t>Critério</t>
  </si>
  <si>
    <t>Status</t>
  </si>
  <si>
    <t>Custo total</t>
  </si>
  <si>
    <t>≤ 330 R$/m³</t>
  </si>
  <si>
    <t>Volume calculado</t>
  </si>
  <si>
    <t>1,000 m³ ±0,005</t>
  </si>
  <si>
    <t>Relação água/cimento</t>
  </si>
  <si>
    <t>≤ 0,55</t>
  </si>
  <si>
    <t>fck estimado</t>
  </si>
  <si>
    <t>≥ 25 MPa</t>
  </si>
  <si>
    <t>Areia/cimento</t>
  </si>
  <si>
    <t>2,07 a 2,53</t>
  </si>
  <si>
    <t>Brita/cimento</t>
  </si>
  <si>
    <t>2,43 a 2,97</t>
  </si>
  <si>
    <t>Observação</t>
  </si>
  <si>
    <t>Fontes, preços e premissas técnicas</t>
  </si>
  <si>
    <t>PREÇOS USADOS NO MODELO</t>
  </si>
  <si>
    <t>Insumo</t>
  </si>
  <si>
    <t>Referência/código</t>
  </si>
  <si>
    <t>Valor original</t>
  </si>
  <si>
    <t>Conversão</t>
  </si>
  <si>
    <t>Valor usado</t>
  </si>
  <si>
    <t>URL</t>
  </si>
  <si>
    <t>Cimento Portland CP II-32</t>
  </si>
  <si>
    <t>R$ 0,66/kg</t>
  </si>
  <si>
    <t>direto</t>
  </si>
  <si>
    <t>https://orcamentor.com/insumo/1379/</t>
  </si>
  <si>
    <t>R$ 85,00/m³</t>
  </si>
  <si>
    <t>85 / 1600 kg/m³</t>
  </si>
  <si>
    <t>https://orcamentor.com/insumo/370/</t>
  </si>
  <si>
    <t>R$ 77,78/m³</t>
  </si>
  <si>
    <t>77,78 / 1500 kg/m³</t>
  </si>
  <si>
    <t>https://orcamentor.com/insumo/4721/</t>
  </si>
  <si>
    <t>Água tratada comercial</t>
  </si>
  <si>
    <t>R$ 16,38/m³</t>
  </si>
  <si>
    <t>16,38 / 1000 L</t>
  </si>
  <si>
    <t>https://www.arpe.pe.gov.br/images/COORDENADORIAS/TARIFAS/SANEAMENTO/2023/Tabela-Tarifria-Compesa-Reajuste-Maro-2023-para-Site.pdf</t>
  </si>
  <si>
    <t>PARÂMETROS DO MODELO</t>
  </si>
  <si>
    <t>Parâmetro</t>
  </si>
  <si>
    <t>Volume alvo</t>
  </si>
  <si>
    <t>1 m³ de concreto</t>
  </si>
  <si>
    <t>Ar incorporado/volume vazio adotado</t>
  </si>
  <si>
    <t>2% do volume</t>
  </si>
  <si>
    <t>Custo máximo base</t>
  </si>
  <si>
    <t>R$/m³ de material</t>
  </si>
  <si>
    <t>fck mínimo base</t>
  </si>
  <si>
    <t>MPa</t>
  </si>
  <si>
    <t>a/c máximo base</t>
  </si>
  <si>
    <t>Água mínima</t>
  </si>
  <si>
    <t>Estimativa de resistência</t>
  </si>
  <si>
    <t>Água máxima</t>
  </si>
  <si>
    <t>fck de referência</t>
  </si>
  <si>
    <t>Cimento mínimo</t>
  </si>
  <si>
    <t>a/c de referência</t>
  </si>
  <si>
    <t>Cimento máximo</t>
  </si>
  <si>
    <t>Areia/cimento mínimo</t>
  </si>
  <si>
    <t>Faixa = 1:2,3 ±10%</t>
  </si>
  <si>
    <t>Areia/cimento máximo</t>
  </si>
  <si>
    <t>Fonte geral SINAPI</t>
  </si>
  <si>
    <t>https://www.caixa.gov.br/poder-publico/modernizacao-gestao/sinapi/Paginas/default.aspx</t>
  </si>
  <si>
    <t>Brita/cimento mínimo</t>
  </si>
  <si>
    <t>Faixa = 1:2,7 ±10%</t>
  </si>
  <si>
    <t>IBGE SINAPI</t>
  </si>
  <si>
    <t>https://www.ibge.gov.br/estatisticas/economicas/precos-e-custos/9270-sistema-nacional-de-pesquisa-de-custos-e-indices-da-construcao-civil.html</t>
  </si>
  <si>
    <t>Brita/cimento máximo</t>
  </si>
  <si>
    <t>TRAÇOS SINAPI DE REFERÊNCIA</t>
  </si>
  <si>
    <t>Código</t>
  </si>
  <si>
    <t>Fck</t>
  </si>
  <si>
    <t>Traço em massa seca</t>
  </si>
  <si>
    <t>94963</t>
  </si>
  <si>
    <t>15 MPa</t>
  </si>
  <si>
    <t>1:3,4:3,5</t>
  </si>
  <si>
    <t>https://orcamentor.com/grupo/59/</t>
  </si>
  <si>
    <t>94964/94970</t>
  </si>
  <si>
    <t>20 MPa</t>
  </si>
  <si>
    <t>1:2,7:3,0</t>
  </si>
  <si>
    <t>94965</t>
  </si>
  <si>
    <t>25 MPa</t>
  </si>
  <si>
    <t>1:2,3:2,7</t>
  </si>
  <si>
    <t>https://orcamentor.com/composicao/94965/</t>
  </si>
  <si>
    <t>94966</t>
  </si>
  <si>
    <t>30 MPa</t>
  </si>
  <si>
    <t>1:2,1:2,5</t>
  </si>
  <si>
    <t>Massa específica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</si>
</sst>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R\$\ 0.00000"/>
    <numFmt numFmtId="165" formatCode="0.000"/>
    <numFmt numFmtId="166" formatCode="\R\$\ 0.00"/>
    <numFmt numFmtId="167" formatCode="0.0%"/>
  </numFmts>
  <fonts count="6">
    <font>
      <sz val="11"/>
      <name val="Carlito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10"/>
      <color rgb="FF7C2D12"/>
      <name val="Arial"/>
      <family val="2"/>
    </font>
    <font>
      <b/>
      <sz val="10"/>
      <color rgb="FF111827"/>
      <name val="Arial"/>
      <family val="2"/>
    </font>
    <font>
      <b/>
      <sz val="15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left"/>
    </xf>
    <xf numFmtId="0" fontId="1" fillId="4" borderId="0" xfId="0" applyFont="1" applyFill="1" applyAlignment="1">
      <alignment horizontal="center" vertical="center" wrapText="1"/>
    </xf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0" fontId="2" fillId="0" borderId="0" xfId="0" applyFont="1" applyAlignment="1">
      <alignment wrapText="1"/>
    </xf>
    <xf numFmtId="164" fontId="2" fillId="0" borderId="0" xfId="0" applyNumberFormat="1" applyFont="1"/>
    <xf numFmtId="0" fontId="4" fillId="3" borderId="0" xfId="0" applyFont="1" applyFill="1" applyAlignment="1">
      <alignment horizontal="left" wrapText="1"/>
    </xf>
    <xf numFmtId="164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65" fontId="1" fillId="4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vertical="top" wrapText="1"/>
    </xf>
    <xf numFmtId="0" fontId="2" fillId="5" borderId="0" xfId="0" applyFont="1" applyFill="1"/>
    <xf numFmtId="0" fontId="4" fillId="5" borderId="0" xfId="0" applyFont="1" applyFill="1" applyAlignment="1">
      <alignment horizontal="left"/>
    </xf>
    <xf numFmtId="0" fontId="2" fillId="5" borderId="0" xfId="0" applyFont="1" applyFill="1" applyAlignment="1">
      <alignment wrapText="1"/>
    </xf>
    <xf numFmtId="0" fontId="0" fillId="5" borderId="0" xfId="0" applyFill="1"/>
    <xf numFmtId="0" fontId="5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Custo por material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</c:v>
          </c:tx>
          <c:invertIfNegative val="1"/>
          <c:cat>
            <c:strRef>
              <c:f>Modelo_Solver!$I$7:$I$10</c:f>
              <c:strCache>
                <c:ptCount val="4"/>
                <c:pt idx="0">
                  <c:v>Cimento</c:v>
                </c:pt>
                <c:pt idx="1">
                  <c:v>Água</c:v>
                </c:pt>
                <c:pt idx="2">
                  <c:v>Areia</c:v>
                </c:pt>
                <c:pt idx="3">
                  <c:v>Brita</c:v>
                </c:pt>
              </c:strCache>
            </c:strRef>
          </c:cat>
          <c:val>
            <c:numRef>
              <c:f>Modelo_Solver!$J$7:$J$10</c:f>
              <c:numCache>
                <c:formatCode>\R\$\ #,000</c:formatCode>
                <c:ptCount val="4"/>
                <c:pt idx="0">
                  <c:v>220.2</c:v>
                </c:pt>
                <c:pt idx="1">
                  <c:v>3.01</c:v>
                </c:pt>
                <c:pt idx="2">
                  <c:v>44.83</c:v>
                </c:pt>
                <c:pt idx="3">
                  <c:v>51.39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8-40DA-A701-BA9FF5D7F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17</xdr:row>
      <xdr:rowOff>0</xdr:rowOff>
    </xdr:from>
    <xdr:to>
      <xdr:col>11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zoomScale="85" zoomScaleNormal="85" workbookViewId="0">
      <selection activeCell="G25" sqref="G25"/>
    </sheetView>
  </sheetViews>
  <sheetFormatPr defaultRowHeight="13.8"/>
  <cols>
    <col min="1" max="1" width="22" customWidth="1"/>
    <col min="2" max="2" width="16" customWidth="1"/>
    <col min="3" max="3" width="14" customWidth="1"/>
    <col min="4" max="4" width="12" customWidth="1"/>
    <col min="5" max="5" width="18" customWidth="1"/>
    <col min="6" max="7" width="16" customWidth="1"/>
    <col min="9" max="9" width="18" customWidth="1"/>
    <col min="10" max="11" width="16" customWidth="1"/>
  </cols>
  <sheetData>
    <row r="1" spans="1:13" ht="19.2">
      <c r="A1" s="18" t="s">
        <v>0</v>
      </c>
      <c r="B1" s="18"/>
      <c r="C1" s="18"/>
      <c r="D1" s="18"/>
      <c r="E1" s="18"/>
      <c r="F1" s="18"/>
      <c r="G1" s="18"/>
      <c r="H1" s="1"/>
      <c r="I1" s="1"/>
      <c r="J1" s="1"/>
      <c r="K1" s="1"/>
      <c r="L1" s="1"/>
      <c r="M1" s="1"/>
    </row>
    <row r="2" spans="1:13">
      <c r="A2" s="19"/>
      <c r="B2" s="19"/>
      <c r="C2" s="19"/>
      <c r="D2" s="19"/>
      <c r="E2" s="19"/>
      <c r="F2" s="19"/>
      <c r="G2" s="19"/>
      <c r="H2" s="1"/>
      <c r="I2" s="1"/>
      <c r="J2" s="1"/>
      <c r="K2" s="1"/>
      <c r="L2" s="1"/>
      <c r="M2" s="1"/>
    </row>
    <row r="3" spans="1:13">
      <c r="A3" s="19"/>
      <c r="B3" s="19"/>
      <c r="C3" s="19"/>
      <c r="D3" s="19"/>
      <c r="E3" s="19"/>
      <c r="F3" s="19"/>
      <c r="G3" s="19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2" t="s">
        <v>1</v>
      </c>
      <c r="B5" s="2"/>
      <c r="C5" s="2"/>
      <c r="D5" s="2"/>
      <c r="E5" s="2"/>
      <c r="F5" s="2"/>
      <c r="G5" s="2"/>
      <c r="H5" s="1"/>
      <c r="I5" s="2" t="s">
        <v>2</v>
      </c>
      <c r="J5" s="2"/>
      <c r="K5" s="2"/>
      <c r="L5" s="1"/>
      <c r="M5" s="1"/>
    </row>
    <row r="6" spans="1:13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1"/>
      <c r="I6" s="3" t="s">
        <v>3</v>
      </c>
      <c r="J6" s="3" t="s">
        <v>8</v>
      </c>
      <c r="K6" s="3" t="s">
        <v>10</v>
      </c>
      <c r="L6" s="1"/>
      <c r="M6" s="1"/>
    </row>
    <row r="7" spans="1:13">
      <c r="A7" s="1" t="s">
        <v>11</v>
      </c>
      <c r="B7" s="1" t="s">
        <v>12</v>
      </c>
      <c r="C7" s="4">
        <v>333.64315607612116</v>
      </c>
      <c r="D7" s="1" t="s">
        <v>13</v>
      </c>
      <c r="E7" s="8">
        <f>ROUND(Fontes_e_Premissas!$E$5,4)</f>
        <v>0.66</v>
      </c>
      <c r="F7" s="5">
        <f>ROUND(C7*E7,2)</f>
        <v>220.2</v>
      </c>
      <c r="G7" s="1" t="s">
        <v>14</v>
      </c>
      <c r="H7" s="1"/>
      <c r="I7" s="1" t="s">
        <v>15</v>
      </c>
      <c r="J7" s="5">
        <f>F7</f>
        <v>220.2</v>
      </c>
      <c r="K7" s="6">
        <f>ROUND(J7/$B$14,3)</f>
        <v>0.68899999999999995</v>
      </c>
      <c r="L7" s="1"/>
      <c r="M7" s="1"/>
    </row>
    <row r="8" spans="1:13">
      <c r="A8" s="1" t="s">
        <v>16</v>
      </c>
      <c r="B8" s="1" t="s">
        <v>17</v>
      </c>
      <c r="C8" s="4">
        <v>183.28719396018761</v>
      </c>
      <c r="D8" s="1" t="s">
        <v>18</v>
      </c>
      <c r="E8" s="8">
        <f>ROUND(Fontes_e_Premissas!$E$8,4)</f>
        <v>1.6400000000000001E-2</v>
      </c>
      <c r="F8" s="5">
        <f>ROUND(C8*E8,2)</f>
        <v>3.01</v>
      </c>
      <c r="G8" s="1" t="s">
        <v>19</v>
      </c>
      <c r="H8" s="1"/>
      <c r="I8" s="1" t="s">
        <v>16</v>
      </c>
      <c r="J8" s="5">
        <f>F8</f>
        <v>3.01</v>
      </c>
      <c r="K8" s="6">
        <f>ROUND(J8/$B$14,3)</f>
        <v>8.9999999999999993E-3</v>
      </c>
      <c r="L8" s="1"/>
      <c r="M8" s="1"/>
    </row>
    <row r="9" spans="1:13">
      <c r="A9" s="1" t="s">
        <v>20</v>
      </c>
      <c r="B9" s="1" t="s">
        <v>21</v>
      </c>
      <c r="C9" s="4">
        <v>844.25592489827829</v>
      </c>
      <c r="D9" s="1" t="s">
        <v>13</v>
      </c>
      <c r="E9" s="8">
        <f>ROUND(Fontes_e_Premissas!$E$6,4)</f>
        <v>5.3100000000000001E-2</v>
      </c>
      <c r="F9" s="5">
        <f>ROUND(C9*E9,2)</f>
        <v>44.83</v>
      </c>
      <c r="G9" s="1" t="s">
        <v>22</v>
      </c>
      <c r="H9" s="1"/>
      <c r="I9" s="1" t="s">
        <v>23</v>
      </c>
      <c r="J9" s="5">
        <f>F9</f>
        <v>44.83</v>
      </c>
      <c r="K9" s="6">
        <f>ROUND(J9/$B$14,3)</f>
        <v>0.14000000000000001</v>
      </c>
      <c r="L9" s="1"/>
      <c r="M9" s="1"/>
    </row>
    <row r="10" spans="1:13">
      <c r="A10" s="1" t="s">
        <v>24</v>
      </c>
      <c r="B10" s="1" t="s">
        <v>25</v>
      </c>
      <c r="C10" s="4">
        <v>990.11021018728593</v>
      </c>
      <c r="D10" s="1" t="s">
        <v>13</v>
      </c>
      <c r="E10" s="8">
        <f>ROUND(Fontes_e_Premissas!$E$7,4)</f>
        <v>5.1900000000000002E-2</v>
      </c>
      <c r="F10" s="5">
        <f>ROUND(C10*E10,2)</f>
        <v>51.39</v>
      </c>
      <c r="G10" s="1" t="s">
        <v>26</v>
      </c>
      <c r="H10" s="1"/>
      <c r="I10" s="1" t="s">
        <v>27</v>
      </c>
      <c r="J10" s="5">
        <f>F10</f>
        <v>51.39</v>
      </c>
      <c r="K10" s="6">
        <f>ROUND(J10/$B$14,3)</f>
        <v>0.161</v>
      </c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2" t="s">
        <v>28</v>
      </c>
      <c r="B12" s="2"/>
      <c r="C12" s="2"/>
      <c r="D12" s="2"/>
      <c r="E12" s="1"/>
      <c r="F12" s="1"/>
      <c r="G12" s="1"/>
      <c r="H12" s="1"/>
      <c r="I12" s="19"/>
      <c r="J12" s="19"/>
      <c r="K12" s="19"/>
      <c r="L12" s="1"/>
      <c r="M12" s="1"/>
    </row>
    <row r="13" spans="1:13">
      <c r="A13" s="3" t="s">
        <v>29</v>
      </c>
      <c r="B13" s="3" t="s">
        <v>30</v>
      </c>
      <c r="C13" s="3" t="s">
        <v>31</v>
      </c>
      <c r="D13" s="3" t="s">
        <v>32</v>
      </c>
      <c r="E13" s="1"/>
      <c r="F13" s="1"/>
      <c r="G13" s="1"/>
      <c r="H13" s="1"/>
      <c r="I13" s="19"/>
      <c r="J13" s="19"/>
      <c r="K13" s="19"/>
      <c r="L13" s="1"/>
      <c r="M13" s="1"/>
    </row>
    <row r="14" spans="1:13">
      <c r="A14" s="1" t="s">
        <v>33</v>
      </c>
      <c r="B14" s="5">
        <f>ROUND(SUM(F7:F10),2)</f>
        <v>319.43</v>
      </c>
      <c r="C14" s="1" t="s">
        <v>34</v>
      </c>
      <c r="D14" s="1" t="str">
        <f>IF(B14&lt;=Fontes_e_Premissas!$B$14,"OK","Acima")</f>
        <v>OK</v>
      </c>
      <c r="E14" s="1"/>
      <c r="F14" s="1"/>
      <c r="G14" s="1"/>
      <c r="H14" s="1"/>
      <c r="I14" s="19"/>
      <c r="J14" s="19"/>
      <c r="K14" s="19"/>
      <c r="L14" s="1"/>
      <c r="M14" s="1"/>
    </row>
    <row r="15" spans="1:13">
      <c r="A15" s="1" t="s">
        <v>35</v>
      </c>
      <c r="B15" s="4">
        <f>ROUND(C7/Fontes_e_Premissas!$F$12+C8/Fontes_e_Premissas!$F$13+C9/Fontes_e_Premissas!$F$14+C10/Fontes_e_Premissas!$F$15+Fontes_e_Premissas!$B$13,3)</f>
        <v>0.995</v>
      </c>
      <c r="C15" s="1" t="s">
        <v>36</v>
      </c>
      <c r="D15" s="1" t="str">
        <f>IF(ABS(B15-Fontes_e_Premissas!$B$12)&lt;=0.005,"OK","Ajustar")</f>
        <v>OK</v>
      </c>
      <c r="E15" s="1"/>
      <c r="F15" s="1"/>
      <c r="G15" s="1"/>
      <c r="H15" s="1"/>
      <c r="I15" s="19"/>
      <c r="J15" s="19"/>
      <c r="K15" s="19"/>
      <c r="L15" s="1"/>
      <c r="M15" s="1"/>
    </row>
    <row r="16" spans="1:13">
      <c r="A16" s="1" t="s">
        <v>37</v>
      </c>
      <c r="B16" s="4">
        <f>ROUND(C8/C7,3)</f>
        <v>0.54900000000000004</v>
      </c>
      <c r="C16" s="1" t="s">
        <v>38</v>
      </c>
      <c r="D16" s="1" t="str">
        <f>IF(B16&lt;=Fontes_e_Premissas!$B$16,"OK","Acima")</f>
        <v>OK</v>
      </c>
      <c r="E16" s="1"/>
      <c r="F16" s="1"/>
      <c r="G16" s="1"/>
      <c r="H16" s="1"/>
      <c r="I16" s="19"/>
      <c r="J16" s="19"/>
      <c r="K16" s="19"/>
      <c r="L16" s="1"/>
      <c r="M16" s="1"/>
    </row>
    <row r="17" spans="1:13">
      <c r="A17" s="1" t="s">
        <v>39</v>
      </c>
      <c r="B17" s="4">
        <f>ROUND(Fontes_e_Premissas!$F$18*(Fontes_e_Premissas!$F$19/B16)^Fontes_e_Premissas!$F$20,2)</f>
        <v>25</v>
      </c>
      <c r="C17" s="1" t="s">
        <v>40</v>
      </c>
      <c r="D17" s="1" t="str">
        <f>IF(B17&gt;=Fontes_e_Premissas!$B$15,"OK","Abaixo")</f>
        <v>OK</v>
      </c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 t="s">
        <v>41</v>
      </c>
      <c r="B18" s="4">
        <f>ROUND(C9/C7,3)</f>
        <v>2.5299999999999998</v>
      </c>
      <c r="C18" s="1" t="s">
        <v>42</v>
      </c>
      <c r="D18" s="1" t="str">
        <f>IF(AND(B18&gt;=Fontes_e_Premissas!$B$21,B18&lt;=Fontes_e_Premissas!$B$22),"OK","Fora")</f>
        <v>OK</v>
      </c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 t="s">
        <v>43</v>
      </c>
      <c r="B19" s="4">
        <f>ROUND(C10/C7,3)</f>
        <v>2.968</v>
      </c>
      <c r="C19" s="1" t="s">
        <v>44</v>
      </c>
      <c r="D19" s="1" t="str">
        <f>IF(AND(B19&gt;=Fontes_e_Premissas!$B$23,B19&lt;=Fontes_e_Premissas!$B$24),"OK","Fora")</f>
        <v>OK</v>
      </c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4"/>
      <c r="I21" s="1"/>
      <c r="J21" s="1"/>
      <c r="K21" s="1"/>
      <c r="L21" s="1"/>
      <c r="M21" s="1"/>
    </row>
    <row r="22" spans="1:13">
      <c r="A22" s="15"/>
      <c r="B22" s="15"/>
      <c r="C22" s="15"/>
      <c r="D22" s="15"/>
      <c r="E22" s="14"/>
      <c r="F22" s="14"/>
      <c r="G22" s="14"/>
      <c r="H22" s="14"/>
      <c r="I22" s="1"/>
      <c r="J22" s="1"/>
      <c r="K22" s="1"/>
      <c r="L22" s="1"/>
      <c r="M22" s="1"/>
    </row>
    <row r="23" spans="1:13">
      <c r="A23" s="16"/>
      <c r="B23" s="16"/>
      <c r="C23" s="16"/>
      <c r="D23" s="16"/>
      <c r="E23" s="14"/>
      <c r="F23" s="14"/>
      <c r="G23" s="14"/>
      <c r="H23" s="14"/>
      <c r="I23" s="1"/>
      <c r="J23" s="1"/>
      <c r="K23" s="1"/>
      <c r="L23" s="1"/>
      <c r="M23" s="1"/>
    </row>
    <row r="24" spans="1:13">
      <c r="A24" s="16"/>
      <c r="B24" s="16"/>
      <c r="C24" s="16"/>
      <c r="D24" s="16"/>
      <c r="E24" s="14"/>
      <c r="F24" s="14"/>
      <c r="G24" s="14"/>
      <c r="H24" s="14"/>
      <c r="I24" s="1"/>
      <c r="J24" s="1"/>
      <c r="K24" s="1"/>
      <c r="L24" s="1"/>
      <c r="M24" s="1"/>
    </row>
    <row r="25" spans="1:13">
      <c r="A25" s="16"/>
      <c r="B25" s="16"/>
      <c r="C25" s="16"/>
      <c r="D25" s="16"/>
      <c r="E25" s="14"/>
      <c r="F25" s="14"/>
      <c r="G25" s="14"/>
      <c r="H25" s="14"/>
      <c r="I25" s="1"/>
      <c r="J25" s="1"/>
      <c r="K25" s="1"/>
      <c r="L25" s="1"/>
      <c r="M25" s="1"/>
    </row>
    <row r="26" spans="1:13">
      <c r="A26" s="16"/>
      <c r="B26" s="16"/>
      <c r="C26" s="16"/>
      <c r="D26" s="16"/>
      <c r="E26" s="14"/>
      <c r="F26" s="14"/>
      <c r="G26" s="14"/>
      <c r="H26" s="14"/>
      <c r="I26" s="1"/>
      <c r="J26" s="1"/>
      <c r="K26" s="1"/>
      <c r="L26" s="1"/>
      <c r="M26" s="1"/>
    </row>
    <row r="27" spans="1:13">
      <c r="A27" s="16"/>
      <c r="B27" s="16"/>
      <c r="C27" s="16"/>
      <c r="D27" s="16"/>
      <c r="E27" s="14"/>
      <c r="F27" s="14"/>
      <c r="G27" s="14"/>
      <c r="H27" s="14"/>
      <c r="I27" s="1"/>
      <c r="J27" s="1"/>
      <c r="K27" s="1"/>
      <c r="L27" s="1"/>
      <c r="M27" s="1"/>
    </row>
    <row r="28" spans="1:13">
      <c r="A28" s="16"/>
      <c r="B28" s="16"/>
      <c r="C28" s="16"/>
      <c r="D28" s="16"/>
      <c r="E28" s="14"/>
      <c r="F28" s="14"/>
      <c r="G28" s="14"/>
      <c r="H28" s="14"/>
      <c r="I28" s="1"/>
      <c r="J28" s="1"/>
      <c r="K28" s="1"/>
      <c r="L28" s="1"/>
      <c r="M28" s="1"/>
    </row>
    <row r="29" spans="1:13">
      <c r="A29" s="16"/>
      <c r="B29" s="16"/>
      <c r="C29" s="16"/>
      <c r="D29" s="16"/>
      <c r="E29" s="14"/>
      <c r="F29" s="14"/>
      <c r="G29" s="14"/>
      <c r="H29" s="14"/>
      <c r="I29" s="1"/>
      <c r="J29" s="1"/>
      <c r="K29" s="1"/>
      <c r="L29" s="1"/>
      <c r="M29" s="1"/>
    </row>
    <row r="30" spans="1:13">
      <c r="A30" s="16"/>
      <c r="B30" s="16"/>
      <c r="C30" s="16"/>
      <c r="D30" s="16"/>
      <c r="E30" s="14"/>
      <c r="F30" s="14"/>
      <c r="G30" s="14"/>
      <c r="H30" s="14"/>
      <c r="I30" s="1"/>
      <c r="J30" s="1"/>
      <c r="K30" s="1"/>
      <c r="L30" s="1"/>
      <c r="M30" s="1"/>
    </row>
    <row r="31" spans="1:13">
      <c r="A31" s="16"/>
      <c r="B31" s="16"/>
      <c r="C31" s="16"/>
      <c r="D31" s="16"/>
      <c r="E31" s="14"/>
      <c r="F31" s="14"/>
      <c r="G31" s="14"/>
      <c r="H31" s="14"/>
      <c r="I31" s="1"/>
      <c r="J31" s="1"/>
      <c r="K31" s="1"/>
      <c r="L31" s="1"/>
      <c r="M31" s="1"/>
    </row>
    <row r="32" spans="1:13">
      <c r="A32" s="16"/>
      <c r="B32" s="16"/>
      <c r="C32" s="16"/>
      <c r="D32" s="16"/>
      <c r="E32" s="14"/>
      <c r="F32" s="14"/>
      <c r="G32" s="14"/>
      <c r="H32" s="14"/>
      <c r="I32" s="1"/>
      <c r="J32" s="1"/>
      <c r="K32" s="1"/>
      <c r="L32" s="1"/>
      <c r="M32" s="1"/>
    </row>
    <row r="33" spans="1:13">
      <c r="A33" s="16"/>
      <c r="B33" s="16"/>
      <c r="C33" s="16"/>
      <c r="D33" s="16"/>
      <c r="E33" s="14"/>
      <c r="F33" s="14"/>
      <c r="G33" s="14"/>
      <c r="H33" s="14"/>
      <c r="I33" s="1"/>
      <c r="J33" s="1"/>
      <c r="K33" s="1"/>
      <c r="L33" s="1"/>
      <c r="M33" s="1"/>
    </row>
    <row r="34" spans="1:13">
      <c r="A34" s="16"/>
      <c r="B34" s="16"/>
      <c r="C34" s="16"/>
      <c r="D34" s="16"/>
      <c r="E34" s="14"/>
      <c r="F34" s="14"/>
      <c r="G34" s="14"/>
      <c r="H34" s="14"/>
      <c r="I34" s="1"/>
      <c r="J34" s="1"/>
      <c r="K34" s="1"/>
      <c r="L34" s="1"/>
      <c r="M34" s="1"/>
    </row>
    <row r="35" spans="1:13">
      <c r="A35" s="14"/>
      <c r="B35" s="14"/>
      <c r="C35" s="14"/>
      <c r="D35" s="14"/>
      <c r="E35" s="14"/>
      <c r="F35" s="14"/>
      <c r="G35" s="14"/>
      <c r="H35" s="14"/>
      <c r="I35" s="1"/>
      <c r="J35" s="1"/>
      <c r="K35" s="1"/>
      <c r="L35" s="1"/>
      <c r="M35" s="1"/>
    </row>
    <row r="36" spans="1:13">
      <c r="A36" s="15"/>
      <c r="B36" s="15"/>
      <c r="C36" s="15"/>
      <c r="D36" s="15"/>
      <c r="E36" s="15"/>
      <c r="F36" s="15"/>
      <c r="G36" s="15"/>
      <c r="H36" s="14"/>
      <c r="I36" s="1"/>
      <c r="J36" s="1"/>
      <c r="K36" s="1"/>
      <c r="L36" s="1"/>
      <c r="M36" s="1"/>
    </row>
    <row r="37" spans="1:13">
      <c r="A37" s="19"/>
      <c r="B37" s="19"/>
      <c r="C37" s="19"/>
      <c r="D37" s="19"/>
      <c r="E37" s="19"/>
      <c r="F37" s="19"/>
      <c r="G37" s="19"/>
      <c r="H37" s="14"/>
      <c r="I37" s="1"/>
      <c r="J37" s="1"/>
      <c r="K37" s="1"/>
      <c r="L37" s="1"/>
      <c r="M37" s="1"/>
    </row>
    <row r="38" spans="1:13">
      <c r="A38" s="19"/>
      <c r="B38" s="19"/>
      <c r="C38" s="19"/>
      <c r="D38" s="19"/>
      <c r="E38" s="19"/>
      <c r="F38" s="19"/>
      <c r="G38" s="19"/>
      <c r="H38" s="14"/>
      <c r="I38" s="1"/>
      <c r="J38" s="1"/>
      <c r="K38" s="1"/>
      <c r="L38" s="1"/>
      <c r="M38" s="1"/>
    </row>
    <row r="39" spans="1:13">
      <c r="A39" s="19"/>
      <c r="B39" s="19"/>
      <c r="C39" s="19"/>
      <c r="D39" s="19"/>
      <c r="E39" s="19"/>
      <c r="F39" s="19"/>
      <c r="G39" s="19"/>
      <c r="H39" s="14"/>
      <c r="I39" s="1"/>
      <c r="J39" s="1"/>
      <c r="K39" s="1"/>
      <c r="L39" s="1"/>
      <c r="M39" s="1"/>
    </row>
    <row r="40" spans="1:13">
      <c r="A40" s="19"/>
      <c r="B40" s="19"/>
      <c r="C40" s="19"/>
      <c r="D40" s="19"/>
      <c r="E40" s="19"/>
      <c r="F40" s="19"/>
      <c r="G40" s="19"/>
      <c r="H40" s="14"/>
      <c r="I40" s="1"/>
      <c r="J40" s="1"/>
      <c r="K40" s="1"/>
      <c r="L40" s="1"/>
      <c r="M40" s="1"/>
    </row>
    <row r="41" spans="1:13">
      <c r="H41" s="17"/>
    </row>
  </sheetData>
  <mergeCells count="4">
    <mergeCell ref="A1:G1"/>
    <mergeCell ref="A2:G3"/>
    <mergeCell ref="I12:K16"/>
    <mergeCell ref="A37:G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"/>
  <sheetViews>
    <sheetView zoomScale="85" zoomScaleNormal="85" workbookViewId="0">
      <selection activeCell="D35" sqref="D35"/>
    </sheetView>
  </sheetViews>
  <sheetFormatPr defaultRowHeight="13.8"/>
  <cols>
    <col min="1" max="1" width="24" customWidth="1"/>
    <col min="2" max="2" width="20" customWidth="1"/>
    <col min="3" max="5" width="18" customWidth="1"/>
    <col min="6" max="6" width="70" customWidth="1"/>
  </cols>
  <sheetData>
    <row r="1" spans="1:13" ht="19.2">
      <c r="A1" s="20" t="s">
        <v>46</v>
      </c>
      <c r="B1" s="20"/>
      <c r="C1" s="20"/>
      <c r="D1" s="20"/>
      <c r="E1" s="20"/>
      <c r="F1" s="20"/>
      <c r="G1" s="1"/>
      <c r="H1" s="1"/>
      <c r="I1" s="1"/>
      <c r="J1" s="1"/>
      <c r="K1" s="1"/>
      <c r="L1" s="1"/>
      <c r="M1" s="1"/>
    </row>
    <row r="2" spans="1:13">
      <c r="A2" s="7"/>
      <c r="B2" s="7"/>
      <c r="C2" s="7"/>
      <c r="D2" s="7"/>
      <c r="E2" s="7"/>
      <c r="F2" s="7"/>
      <c r="G2" s="1"/>
      <c r="H2" s="1"/>
      <c r="I2" s="1"/>
      <c r="J2" s="1"/>
      <c r="K2" s="1"/>
      <c r="L2" s="1"/>
      <c r="M2" s="1"/>
    </row>
    <row r="3" spans="1:13" ht="26.4">
      <c r="A3" s="9" t="s">
        <v>47</v>
      </c>
      <c r="B3" s="9"/>
      <c r="C3" s="9"/>
      <c r="D3" s="9"/>
      <c r="E3" s="9"/>
      <c r="F3" s="9"/>
      <c r="G3" s="1"/>
      <c r="H3" s="1"/>
      <c r="I3" s="1"/>
      <c r="J3" s="1"/>
      <c r="K3" s="1"/>
      <c r="L3" s="1"/>
      <c r="M3" s="1"/>
    </row>
    <row r="4" spans="1:13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1"/>
      <c r="H4" s="1"/>
      <c r="I4" s="1"/>
      <c r="J4" s="1"/>
      <c r="K4" s="1"/>
      <c r="L4" s="1"/>
      <c r="M4" s="1"/>
    </row>
    <row r="5" spans="1:13">
      <c r="A5" s="7" t="s">
        <v>54</v>
      </c>
      <c r="B5" s="7" t="s">
        <v>14</v>
      </c>
      <c r="C5" s="7" t="s">
        <v>55</v>
      </c>
      <c r="D5" s="7" t="s">
        <v>56</v>
      </c>
      <c r="E5" s="10">
        <v>0.66</v>
      </c>
      <c r="F5" s="7" t="s">
        <v>57</v>
      </c>
      <c r="G5" s="1"/>
      <c r="H5" s="1"/>
      <c r="I5" s="1"/>
      <c r="J5" s="1"/>
      <c r="K5" s="1"/>
      <c r="L5" s="1"/>
      <c r="M5" s="1"/>
    </row>
    <row r="6" spans="1:13">
      <c r="A6" s="7" t="s">
        <v>20</v>
      </c>
      <c r="B6" s="7" t="s">
        <v>22</v>
      </c>
      <c r="C6" s="7" t="s">
        <v>58</v>
      </c>
      <c r="D6" s="7" t="s">
        <v>59</v>
      </c>
      <c r="E6" s="10">
        <v>5.3124999999999999E-2</v>
      </c>
      <c r="F6" s="7" t="s">
        <v>60</v>
      </c>
      <c r="G6" s="1"/>
      <c r="H6" s="1"/>
      <c r="I6" s="1"/>
      <c r="J6" s="1"/>
      <c r="K6" s="1"/>
      <c r="L6" s="1"/>
      <c r="M6" s="1"/>
    </row>
    <row r="7" spans="1:13">
      <c r="A7" s="7" t="s">
        <v>24</v>
      </c>
      <c r="B7" s="7" t="s">
        <v>26</v>
      </c>
      <c r="C7" s="7" t="s">
        <v>61</v>
      </c>
      <c r="D7" s="7" t="s">
        <v>62</v>
      </c>
      <c r="E7" s="10">
        <v>5.1853333333333335E-2</v>
      </c>
      <c r="F7" s="7" t="s">
        <v>63</v>
      </c>
      <c r="G7" s="1"/>
      <c r="H7" s="1"/>
      <c r="I7" s="1"/>
      <c r="J7" s="1"/>
      <c r="K7" s="1"/>
      <c r="L7" s="1"/>
      <c r="M7" s="1"/>
    </row>
    <row r="8" spans="1:13" ht="26.4">
      <c r="A8" s="7" t="s">
        <v>64</v>
      </c>
      <c r="B8" s="7" t="s">
        <v>19</v>
      </c>
      <c r="C8" s="7" t="s">
        <v>65</v>
      </c>
      <c r="D8" s="7" t="s">
        <v>66</v>
      </c>
      <c r="E8" s="10">
        <v>1.6379999999999999E-2</v>
      </c>
      <c r="F8" s="7" t="s">
        <v>67</v>
      </c>
      <c r="G8" s="1"/>
      <c r="H8" s="1"/>
      <c r="I8" s="1"/>
      <c r="J8" s="1"/>
      <c r="K8" s="1"/>
      <c r="L8" s="1"/>
      <c r="M8" s="1"/>
    </row>
    <row r="9" spans="1:13">
      <c r="A9" s="7"/>
      <c r="B9" s="7"/>
      <c r="C9" s="7"/>
      <c r="D9" s="7"/>
      <c r="E9" s="7"/>
      <c r="F9" s="7"/>
      <c r="G9" s="1"/>
      <c r="H9" s="1"/>
      <c r="I9" s="1"/>
      <c r="J9" s="1"/>
      <c r="K9" s="1"/>
      <c r="L9" s="1"/>
      <c r="M9" s="1"/>
    </row>
    <row r="10" spans="1:13">
      <c r="A10" s="9" t="s">
        <v>68</v>
      </c>
      <c r="B10" s="9"/>
      <c r="C10" s="9"/>
      <c r="D10" s="9"/>
      <c r="E10" s="9"/>
      <c r="F10" s="9"/>
      <c r="G10" s="1"/>
      <c r="H10" s="1"/>
      <c r="I10" s="1"/>
      <c r="J10" s="1"/>
      <c r="K10" s="1"/>
      <c r="L10" s="1"/>
      <c r="M10" s="1"/>
    </row>
    <row r="11" spans="1:13">
      <c r="A11" s="3" t="s">
        <v>69</v>
      </c>
      <c r="B11" s="3" t="s">
        <v>30</v>
      </c>
      <c r="C11" s="3" t="s">
        <v>45</v>
      </c>
      <c r="D11" s="7"/>
      <c r="E11" s="3" t="s">
        <v>114</v>
      </c>
      <c r="F11" s="3" t="s">
        <v>13</v>
      </c>
      <c r="G11" s="1"/>
      <c r="H11" s="1"/>
      <c r="I11" s="1"/>
      <c r="J11" s="1"/>
      <c r="K11" s="1"/>
      <c r="L11" s="1"/>
      <c r="M11" s="1"/>
    </row>
    <row r="12" spans="1:13">
      <c r="A12" s="7" t="s">
        <v>70</v>
      </c>
      <c r="B12" s="11">
        <v>1</v>
      </c>
      <c r="C12" s="7" t="s">
        <v>71</v>
      </c>
      <c r="D12" s="7"/>
      <c r="E12" s="7" t="s">
        <v>15</v>
      </c>
      <c r="F12" s="11">
        <v>3150</v>
      </c>
      <c r="G12" s="1"/>
      <c r="H12" s="1"/>
      <c r="I12" s="1"/>
      <c r="J12" s="1"/>
      <c r="K12" s="1"/>
      <c r="L12" s="1"/>
      <c r="M12" s="1"/>
    </row>
    <row r="13" spans="1:13" ht="26.4">
      <c r="A13" s="7" t="s">
        <v>72</v>
      </c>
      <c r="B13" s="11">
        <v>0.02</v>
      </c>
      <c r="C13" s="7" t="s">
        <v>73</v>
      </c>
      <c r="D13" s="7"/>
      <c r="E13" s="7" t="s">
        <v>16</v>
      </c>
      <c r="F13" s="11">
        <v>1000</v>
      </c>
      <c r="G13" s="1"/>
      <c r="H13" s="1"/>
      <c r="I13" s="1"/>
      <c r="J13" s="1"/>
      <c r="K13" s="1"/>
      <c r="L13" s="1"/>
      <c r="M13" s="1"/>
    </row>
    <row r="14" spans="1:13">
      <c r="A14" s="7" t="s">
        <v>74</v>
      </c>
      <c r="B14" s="11">
        <v>330</v>
      </c>
      <c r="C14" s="7" t="s">
        <v>75</v>
      </c>
      <c r="D14" s="7"/>
      <c r="E14" s="7" t="s">
        <v>23</v>
      </c>
      <c r="F14" s="11">
        <v>2650</v>
      </c>
      <c r="G14" s="1"/>
      <c r="H14" s="1"/>
      <c r="I14" s="1"/>
      <c r="J14" s="1"/>
      <c r="K14" s="1"/>
      <c r="L14" s="1"/>
      <c r="M14" s="1"/>
    </row>
    <row r="15" spans="1:13">
      <c r="A15" s="7" t="s">
        <v>76</v>
      </c>
      <c r="B15" s="11">
        <v>25</v>
      </c>
      <c r="C15" s="7" t="s">
        <v>77</v>
      </c>
      <c r="D15" s="7"/>
      <c r="E15" s="7" t="s">
        <v>27</v>
      </c>
      <c r="F15" s="11">
        <v>2700</v>
      </c>
      <c r="G15" s="1"/>
      <c r="H15" s="1"/>
      <c r="I15" s="1"/>
      <c r="J15" s="1"/>
      <c r="K15" s="1"/>
      <c r="L15" s="1"/>
      <c r="M15" s="1"/>
    </row>
    <row r="16" spans="1:13">
      <c r="A16" s="7" t="s">
        <v>78</v>
      </c>
      <c r="B16" s="11">
        <v>0.55000000000000004</v>
      </c>
      <c r="C16" s="7" t="s">
        <v>37</v>
      </c>
      <c r="D16" s="7"/>
      <c r="E16" s="7"/>
      <c r="F16" s="11"/>
      <c r="G16" s="1"/>
      <c r="H16" s="1"/>
      <c r="I16" s="1"/>
      <c r="J16" s="1"/>
      <c r="K16" s="1"/>
      <c r="L16" s="1"/>
      <c r="M16" s="1"/>
    </row>
    <row r="17" spans="1:13" ht="26.4">
      <c r="A17" s="7" t="s">
        <v>79</v>
      </c>
      <c r="B17" s="11">
        <v>160</v>
      </c>
      <c r="C17" s="7" t="s">
        <v>18</v>
      </c>
      <c r="D17" s="7"/>
      <c r="E17" s="3" t="s">
        <v>80</v>
      </c>
      <c r="F17" s="12" t="s">
        <v>30</v>
      </c>
      <c r="G17" s="1"/>
      <c r="H17" s="1"/>
      <c r="I17" s="1"/>
      <c r="J17" s="1"/>
      <c r="K17" s="1"/>
      <c r="L17" s="1"/>
      <c r="M17" s="1"/>
    </row>
    <row r="18" spans="1:13">
      <c r="A18" s="7" t="s">
        <v>81</v>
      </c>
      <c r="B18" s="11">
        <v>200</v>
      </c>
      <c r="C18" s="7" t="s">
        <v>18</v>
      </c>
      <c r="D18" s="7"/>
      <c r="E18" s="7" t="s">
        <v>82</v>
      </c>
      <c r="F18" s="11">
        <v>25</v>
      </c>
      <c r="G18" s="1"/>
      <c r="H18" s="1"/>
      <c r="I18" s="1"/>
      <c r="J18" s="1"/>
      <c r="K18" s="1"/>
      <c r="L18" s="1"/>
      <c r="M18" s="1"/>
    </row>
    <row r="19" spans="1:13">
      <c r="A19" s="7" t="s">
        <v>83</v>
      </c>
      <c r="B19" s="11">
        <v>280</v>
      </c>
      <c r="C19" s="7" t="s">
        <v>13</v>
      </c>
      <c r="D19" s="7"/>
      <c r="E19" s="7" t="s">
        <v>84</v>
      </c>
      <c r="F19" s="11">
        <v>0.55000000000000004</v>
      </c>
      <c r="G19" s="1"/>
      <c r="H19" s="1"/>
      <c r="I19" s="1"/>
      <c r="J19" s="1"/>
      <c r="K19" s="1"/>
      <c r="L19" s="1"/>
      <c r="M19" s="1"/>
    </row>
    <row r="20" spans="1:13">
      <c r="A20" s="7" t="s">
        <v>85</v>
      </c>
      <c r="B20" s="11">
        <v>430</v>
      </c>
      <c r="C20" s="7" t="s">
        <v>13</v>
      </c>
      <c r="D20" s="7"/>
      <c r="E20" s="7"/>
      <c r="F20" s="11"/>
      <c r="G20" s="1"/>
      <c r="H20" s="1"/>
      <c r="I20" s="1"/>
      <c r="J20" s="1"/>
      <c r="K20" s="1"/>
      <c r="L20" s="1"/>
      <c r="M20" s="1"/>
    </row>
    <row r="21" spans="1:13">
      <c r="A21" s="7" t="s">
        <v>86</v>
      </c>
      <c r="B21" s="11">
        <v>2.0699999999999998</v>
      </c>
      <c r="C21" s="7" t="s">
        <v>87</v>
      </c>
      <c r="D21" s="7"/>
      <c r="E21" s="7"/>
      <c r="F21" s="7"/>
      <c r="G21" s="1"/>
      <c r="H21" s="1"/>
      <c r="I21" s="1"/>
      <c r="J21" s="1"/>
      <c r="K21" s="1"/>
      <c r="L21" s="1"/>
      <c r="M21" s="1"/>
    </row>
    <row r="22" spans="1:13">
      <c r="A22" s="7" t="s">
        <v>88</v>
      </c>
      <c r="B22" s="11">
        <v>2.5299999999999998</v>
      </c>
      <c r="C22" s="7" t="s">
        <v>87</v>
      </c>
      <c r="D22" s="7"/>
      <c r="E22" s="7" t="s">
        <v>89</v>
      </c>
      <c r="F22" s="7" t="s">
        <v>90</v>
      </c>
      <c r="G22" s="1"/>
      <c r="H22" s="1"/>
      <c r="I22" s="1"/>
      <c r="J22" s="1"/>
      <c r="K22" s="1"/>
      <c r="L22" s="1"/>
      <c r="M22" s="1"/>
    </row>
    <row r="23" spans="1:13" ht="26.4">
      <c r="A23" s="7" t="s">
        <v>91</v>
      </c>
      <c r="B23" s="11">
        <v>2.4300000000000002</v>
      </c>
      <c r="C23" s="7" t="s">
        <v>92</v>
      </c>
      <c r="D23" s="7"/>
      <c r="E23" s="7" t="s">
        <v>93</v>
      </c>
      <c r="F23" s="7" t="s">
        <v>94</v>
      </c>
      <c r="G23" s="1"/>
      <c r="H23" s="1"/>
      <c r="I23" s="1"/>
      <c r="J23" s="1"/>
      <c r="K23" s="1"/>
      <c r="L23" s="1"/>
      <c r="M23" s="1"/>
    </row>
    <row r="24" spans="1:13">
      <c r="A24" s="7" t="s">
        <v>95</v>
      </c>
      <c r="B24" s="11">
        <v>2.97</v>
      </c>
      <c r="C24" s="7" t="s">
        <v>92</v>
      </c>
      <c r="D24" s="7"/>
      <c r="E24" s="7"/>
      <c r="F24" s="7"/>
      <c r="G24" s="1"/>
      <c r="H24" s="1"/>
      <c r="I24" s="1"/>
      <c r="J24" s="1"/>
      <c r="K24" s="1"/>
      <c r="L24" s="1"/>
      <c r="M24" s="1"/>
    </row>
    <row r="25" spans="1:13">
      <c r="A25" s="7"/>
      <c r="B25" s="7"/>
      <c r="C25" s="7"/>
      <c r="D25" s="7"/>
      <c r="E25" s="7"/>
      <c r="F25" s="7"/>
      <c r="G25" s="1"/>
      <c r="H25" s="1"/>
      <c r="I25" s="1"/>
      <c r="J25" s="1"/>
      <c r="K25" s="1"/>
      <c r="L25" s="1"/>
      <c r="M25" s="1"/>
    </row>
    <row r="26" spans="1:13" ht="26.4">
      <c r="A26" s="9" t="s">
        <v>96</v>
      </c>
      <c r="B26" s="9"/>
      <c r="C26" s="9"/>
      <c r="D26" s="9"/>
      <c r="E26" s="9"/>
      <c r="F26" s="9"/>
      <c r="G26" s="1"/>
      <c r="H26" s="1"/>
      <c r="I26" s="1"/>
      <c r="J26" s="1"/>
      <c r="K26" s="1"/>
      <c r="L26" s="1"/>
      <c r="M26" s="1"/>
    </row>
    <row r="27" spans="1:13">
      <c r="A27" s="3" t="s">
        <v>97</v>
      </c>
      <c r="B27" s="3" t="s">
        <v>98</v>
      </c>
      <c r="C27" s="3" t="s">
        <v>99</v>
      </c>
      <c r="D27" s="3" t="s">
        <v>9</v>
      </c>
      <c r="E27" s="7"/>
      <c r="F27" s="7"/>
      <c r="G27" s="1"/>
      <c r="H27" s="1"/>
      <c r="I27" s="1"/>
      <c r="J27" s="1"/>
      <c r="K27" s="1"/>
      <c r="L27" s="1"/>
      <c r="M27" s="1"/>
    </row>
    <row r="28" spans="1:13" ht="26.4">
      <c r="A28" s="7" t="s">
        <v>100</v>
      </c>
      <c r="B28" s="7" t="s">
        <v>101</v>
      </c>
      <c r="C28" s="7" t="s">
        <v>102</v>
      </c>
      <c r="D28" s="7" t="s">
        <v>103</v>
      </c>
      <c r="E28" s="7"/>
      <c r="F28" s="7"/>
      <c r="G28" s="1"/>
      <c r="H28" s="1"/>
      <c r="I28" s="1"/>
      <c r="J28" s="1"/>
      <c r="K28" s="1"/>
      <c r="L28" s="1"/>
      <c r="M28" s="1"/>
    </row>
    <row r="29" spans="1:13" ht="26.4">
      <c r="A29" s="7" t="s">
        <v>104</v>
      </c>
      <c r="B29" s="7" t="s">
        <v>105</v>
      </c>
      <c r="C29" s="7" t="s">
        <v>106</v>
      </c>
      <c r="D29" s="7" t="s">
        <v>103</v>
      </c>
      <c r="E29" s="7"/>
      <c r="F29" s="7"/>
      <c r="G29" s="1"/>
      <c r="H29" s="1"/>
      <c r="I29" s="1"/>
      <c r="J29" s="1"/>
      <c r="K29" s="1"/>
      <c r="L29" s="1"/>
      <c r="M29" s="1"/>
    </row>
    <row r="30" spans="1:13" ht="26.4">
      <c r="A30" s="7" t="s">
        <v>107</v>
      </c>
      <c r="B30" s="7" t="s">
        <v>108</v>
      </c>
      <c r="C30" s="7" t="s">
        <v>109</v>
      </c>
      <c r="D30" s="7" t="s">
        <v>110</v>
      </c>
      <c r="E30" s="7"/>
      <c r="F30" s="7"/>
      <c r="G30" s="1"/>
      <c r="H30" s="1"/>
      <c r="I30" s="1"/>
      <c r="J30" s="1"/>
      <c r="K30" s="1"/>
      <c r="L30" s="1"/>
      <c r="M30" s="1"/>
    </row>
    <row r="31" spans="1:13" ht="26.4">
      <c r="A31" s="7" t="s">
        <v>111</v>
      </c>
      <c r="B31" s="7" t="s">
        <v>112</v>
      </c>
      <c r="C31" s="7" t="s">
        <v>113</v>
      </c>
      <c r="D31" s="7" t="s">
        <v>103</v>
      </c>
      <c r="E31" s="7"/>
      <c r="F31" s="7"/>
      <c r="G31" s="1"/>
      <c r="H31" s="1"/>
      <c r="I31" s="1"/>
      <c r="J31" s="1"/>
      <c r="K31" s="1"/>
      <c r="L31" s="1"/>
      <c r="M31" s="1"/>
    </row>
    <row r="32" spans="1:13">
      <c r="A32" s="7"/>
      <c r="B32" s="7"/>
      <c r="C32" s="7"/>
      <c r="D32" s="7"/>
      <c r="E32" s="7"/>
      <c r="F32" s="7"/>
      <c r="G32" s="1"/>
      <c r="H32" s="1"/>
      <c r="I32" s="1"/>
      <c r="J32" s="1"/>
      <c r="K32" s="1"/>
      <c r="L32" s="1"/>
      <c r="M32" s="1"/>
    </row>
    <row r="33" spans="1:13">
      <c r="A33" s="7"/>
      <c r="B33" s="7"/>
      <c r="C33" s="7"/>
      <c r="D33" s="7"/>
      <c r="E33" s="7"/>
      <c r="F33" s="7"/>
      <c r="G33" s="1"/>
      <c r="H33" s="1"/>
      <c r="I33" s="1"/>
      <c r="J33" s="1"/>
      <c r="K33" s="1"/>
      <c r="L33" s="1"/>
      <c r="M33" s="1"/>
    </row>
    <row r="34" spans="1:13">
      <c r="A34" s="13"/>
      <c r="B34" s="13"/>
      <c r="C34" s="13"/>
      <c r="D34" s="13"/>
      <c r="E34" s="13"/>
      <c r="F34" s="13"/>
      <c r="G34" s="1"/>
      <c r="H34" s="1"/>
      <c r="I34" s="1"/>
      <c r="J34" s="1"/>
      <c r="K34" s="1"/>
      <c r="L34" s="1"/>
      <c r="M34" s="1"/>
    </row>
    <row r="35" spans="1:13">
      <c r="A35" s="13"/>
      <c r="B35" s="13"/>
      <c r="C35" s="13"/>
      <c r="D35" s="13"/>
      <c r="E35" s="13"/>
      <c r="F35" s="13"/>
      <c r="G35" s="1"/>
      <c r="H35" s="1"/>
      <c r="I35" s="1"/>
      <c r="J35" s="1"/>
      <c r="K35" s="1"/>
      <c r="L35" s="1"/>
      <c r="M35" s="1"/>
    </row>
    <row r="36" spans="1:13">
      <c r="A36" s="13"/>
      <c r="B36" s="13"/>
      <c r="C36" s="13"/>
      <c r="D36" s="13"/>
      <c r="E36" s="13"/>
      <c r="F36" s="13"/>
      <c r="G36" s="1"/>
      <c r="H36" s="1"/>
      <c r="I36" s="1"/>
      <c r="J36" s="1"/>
      <c r="K36" s="1"/>
      <c r="L36" s="1"/>
      <c r="M36" s="1"/>
    </row>
    <row r="37" spans="1:13">
      <c r="A37" s="1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Modelo_Solver</vt:lpstr>
      <vt:lpstr>Fontes_e_Premissas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GABRIEL VALENTIM MELO</cp:lastModifiedBy>
  <dcterms:modified xsi:type="dcterms:W3CDTF">2026-05-25T13:55:25Z</dcterms:modified>
</cp:coreProperties>
</file>